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5.xml" ContentType="application/vnd.openxmlformats-officedocument.drawing+xml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3.bin" ContentType="application/vnd.openxmlformats-officedocument.oleObject"/>
  <Override PartName="/xl/embeddings/oleObject42.bin" ContentType="application/vnd.openxmlformats-officedocument.oleObject"/>
  <Override PartName="/xl/embeddings/oleObject41.bin" ContentType="application/vnd.openxmlformats-officedocument.oleObject"/>
  <Override PartName="/xl/drawings/drawing24.xml" ContentType="application/vnd.openxmlformats-officedocument.drawing+xml"/>
  <Override PartName="/xl/drawings/drawing26.xml" ContentType="application/vnd.openxmlformats-officedocument.drawing+xml"/>
  <Override PartName="/xl/worksheets/sheet2.xml" ContentType="application/vnd.openxmlformats-officedocument.spreadsheetml.worksheet+xml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worksheets/sheet3.xml" ContentType="application/vnd.openxmlformats-officedocument.spreadsheetml.worksheet+xml"/>
  <Override PartName="/xl/embeddings/oleObject40.bin" ContentType="application/vnd.openxmlformats-officedocument.oleObject"/>
  <Override PartName="/xl/drawings/drawing23.xml" ContentType="application/vnd.openxmlformats-officedocument.drawing+xml"/>
  <Override PartName="/xl/embeddings/oleObject32.bin" ContentType="application/vnd.openxmlformats-officedocument.oleObject"/>
  <Override PartName="/xl/drawings/drawing20.xml" ContentType="application/vnd.openxmlformats-officedocument.drawing+xml"/>
  <Override PartName="/xl/embeddings/oleObject33.bin" ContentType="application/vnd.openxmlformats-officedocument.oleObject"/>
  <Override PartName="/xl/embeddings/oleObject31.bin" ContentType="application/vnd.openxmlformats-officedocument.oleObject"/>
  <Override PartName="/xl/drawings/drawing19.xml" ContentType="application/vnd.openxmlformats-officedocument.drawing+xml"/>
  <Override PartName="/xl/embeddings/oleObject29.bin" ContentType="application/vnd.openxmlformats-officedocument.oleObject"/>
  <Override PartName="/xl/worksheets/sheet1.xml" ContentType="application/vnd.openxmlformats-officedocument.spreadsheetml.worksheet+xml"/>
  <Override PartName="/xl/embeddings/oleObject34.bin" ContentType="application/vnd.openxmlformats-officedocument.oleObject"/>
  <Override PartName="/xl/drawings/drawing22.xml" ContentType="application/vnd.openxmlformats-officedocument.drawing+xml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37.bin" ContentType="application/vnd.openxmlformats-officedocument.oleObject"/>
  <Override PartName="/xl/embeddings/oleObject35.bin" ContentType="application/vnd.openxmlformats-officedocument.oleObject"/>
  <Override PartName="/xl/drawings/drawing21.xml" ContentType="application/vnd.openxmlformats-officedocument.drawing+xml"/>
  <Override PartName="/xl/embeddings/oleObject36.bin" ContentType="application/vnd.openxmlformats-officedocument.oleObject"/>
  <Override PartName="/xl/drawings/drawing18.xml" ContentType="application/vnd.openxmlformats-officedocument.drawing+xml"/>
  <Override PartName="/xl/embeddings/oleObject30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drawings/drawing8.xml" ContentType="application/vnd.openxmlformats-officedocument.drawing+xml"/>
  <Override PartName="/xl/worksheets/sheet24.xml" ContentType="application/vnd.openxmlformats-officedocument.spreadsheetml.worksheet+xml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drawings/drawing9.xml" ContentType="application/vnd.openxmlformats-officedocument.drawing+xml"/>
  <Override PartName="/xl/worksheets/sheet20.xml" ContentType="application/vnd.openxmlformats-officedocument.spreadsheetml.worksheet+xml"/>
  <Override PartName="/xl/drawings/drawing10.xml" ContentType="application/vnd.openxmlformats-officedocument.drawing+xml"/>
  <Override PartName="/xl/embeddings/oleObject13.bin" ContentType="application/vnd.openxmlformats-officedocument.oleObject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worksheets/sheet23.xml" ContentType="application/vnd.openxmlformats-officedocument.spreadsheetml.worksheet+xml"/>
  <Override PartName="/xl/drawings/drawing7.xml" ContentType="application/vnd.openxmlformats-officedocument.drawing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worksheets/sheet28.xml" ContentType="application/vnd.openxmlformats-officedocument.spreadsheetml.worksheet+xml"/>
  <Override PartName="/xl/drawings/drawing3.xml" ContentType="application/vnd.openxmlformats-officedocument.drawing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2.xml" ContentType="application/vnd.openxmlformats-officedocument.drawing+xml"/>
  <Override PartName="/xl/worksheets/sheet27.xml" ContentType="application/vnd.openxmlformats-officedocument.spreadsheetml.worksheet+xml"/>
  <Override PartName="/xl/drawings/drawing5.xml" ContentType="application/vnd.openxmlformats-officedocument.drawing+xml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drawings/drawing6.xml" ContentType="application/vnd.openxmlformats-officedocument.drawing+xml"/>
  <Override PartName="/xl/worksheets/sheet26.xml" ContentType="application/vnd.openxmlformats-officedocument.spreadsheetml.worksheet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drawings/drawing1.xml" ContentType="application/vnd.openxmlformats-officedocument.drawing+xml"/>
  <Override PartName="/xl/worksheets/sheet19.xml" ContentType="application/vnd.openxmlformats-officedocument.spreadsheetml.worksheet+xml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worksheets/sheet8.xml" ContentType="application/vnd.openxmlformats-officedocument.spreadsheetml.worksheet+xml"/>
  <Override PartName="/xl/drawings/drawing15.xml" ContentType="application/vnd.openxmlformats-officedocument.drawing+xml"/>
  <Override PartName="/xl/worksheets/sheet9.xml" ContentType="application/vnd.openxmlformats-officedocument.spreadsheetml.worksheet+xml"/>
  <Override PartName="/xl/embeddings/oleObject22.bin" ContentType="application/vnd.openxmlformats-officedocument.oleObject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drawings/drawing16.xml" ContentType="application/vnd.openxmlformats-officedocument.drawing+xml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drawings/drawing17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1.bin" ContentType="application/vnd.openxmlformats-officedocument.oleObject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embeddings/oleObject16.bin" ContentType="application/vnd.openxmlformats-officedocument.oleObject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1.xml" ContentType="application/vnd.openxmlformats-officedocument.drawing+xml"/>
  <Override PartName="/xl/embeddings/oleObject15.bin" ContentType="application/vnd.openxmlformats-officedocument.oleObject"/>
  <Override PartName="/xl/embeddings/oleObject14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20.bin" ContentType="application/vnd.openxmlformats-officedocument.oleObject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embeddings/oleObject19.bin" ContentType="application/vnd.openxmlformats-officedocument.oleObject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8"/>
  <workbookPr filterPrivacy="1" codeName="ThisWorkbook" defaultThemeVersion="124226"/>
  <xr:revisionPtr revIDLastSave="0" documentId="8_{9622E461-070E-409E-A3BE-6800C04F853F}" xr6:coauthVersionLast="36" xr6:coauthVersionMax="36" xr10:uidLastSave="{00000000-0000-0000-0000-000000000000}"/>
  <bookViews>
    <workbookView xWindow="-120" yWindow="-120" windowWidth="17376" windowHeight="9828" tabRatio="827" xr2:uid="{00000000-000D-0000-FFFF-FFFF00000000}"/>
  </bookViews>
  <sheets>
    <sheet name="Cover" sheetId="30" r:id="rId1"/>
    <sheet name="Rabbit MQ" sheetId="114" r:id="rId2"/>
    <sheet name="Message Format Define" sheetId="77" r:id="rId3"/>
    <sheet name="Carrier State and Position" sheetId="147" r:id="rId4"/>
    <sheet name="List" sheetId="2" r:id="rId5"/>
    <sheet name="Lifter Scenario" sheetId="148" r:id="rId6"/>
    <sheet name="reportAlive" sheetId="117" r:id="rId7"/>
    <sheet name="dateTimeSyncRequest" sheetId="31" r:id="rId8"/>
    <sheet name="switchRunMode" sheetId="118" r:id="rId9"/>
    <sheet name="alarmReport" sheetId="119" r:id="rId10"/>
    <sheet name="queryLifterInfo" sheetId="120" r:id="rId11"/>
    <sheet name="lifterOperationChangeRequest" sheetId="121" r:id="rId12"/>
    <sheet name="lifterOperationModeReport" sheetId="123" r:id="rId13"/>
    <sheet name="lifterStatusReport" sheetId="122" r:id="rId14"/>
    <sheet name="lifterUnlockRequest" sheetId="124" r:id="rId15"/>
    <sheet name="lifterLockRequest" sheetId="125" r:id="rId16"/>
    <sheet name="lifterDoorOpenCompleted" sheetId="126" r:id="rId17"/>
    <sheet name="agvMovingInform" sheetId="128" r:id="rId18"/>
    <sheet name="agvOutLifterInform" sheetId="130" r:id="rId19"/>
    <sheet name="fireEventReport" sheetId="129" r:id="rId20"/>
    <sheet name="carrierWaitIn" sheetId="132" r:id="rId21"/>
    <sheet name="carrierWaitOut" sheetId="127" r:id="rId22"/>
    <sheet name="carrierReportEvent" sheetId="149" r:id="rId23"/>
    <sheet name="lifterMoveRequest" sheetId="142" r:id="rId24"/>
    <sheet name="lifterMoveTaskReport" sheetId="143" r:id="rId25"/>
    <sheet name="carrierMoveCancelByMCS" sheetId="140" r:id="rId26"/>
    <sheet name="cancelTaskReport" sheetId="141" r:id="rId27"/>
    <sheet name="lifterInfoUploadRequest" sheetId="144" r:id="rId28"/>
    <sheet name="lifterInfoUpload" sheetId="145" r:id="rId29"/>
  </sheets>
  <definedNames>
    <definedName name="_xlnm._FilterDatabase" localSheetId="17" hidden="1">agvMovingInform!#REF!</definedName>
    <definedName name="_xlnm._FilterDatabase" localSheetId="18" hidden="1">agvOutLifterInform!#REF!</definedName>
    <definedName name="_xlnm._FilterDatabase" localSheetId="9" hidden="1">alarmReport!#REF!</definedName>
    <definedName name="_xlnm._FilterDatabase" localSheetId="26" hidden="1">cancelTaskReport!#REF!</definedName>
    <definedName name="_xlnm._FilterDatabase" localSheetId="25" hidden="1">carrierMoveCancelByMCS!#REF!</definedName>
    <definedName name="_xlnm._FilterDatabase" localSheetId="22" hidden="1">carrierReportEvent!#REF!</definedName>
    <definedName name="_xlnm._FilterDatabase" localSheetId="20" hidden="1">carrierWaitIn!#REF!</definedName>
    <definedName name="_xlnm._FilterDatabase" localSheetId="21" hidden="1">carrierWaitOut!#REF!</definedName>
    <definedName name="_xlnm._FilterDatabase" localSheetId="7" hidden="1">dateTimeSyncRequest!#REF!</definedName>
    <definedName name="_xlnm._FilterDatabase" localSheetId="19" hidden="1">fireEventReport!#REF!</definedName>
    <definedName name="_xlnm._FilterDatabase" localSheetId="16" hidden="1">lifterDoorOpenCompleted!#REF!</definedName>
    <definedName name="_xlnm._FilterDatabase" localSheetId="28" hidden="1">lifterInfoUpload!#REF!</definedName>
    <definedName name="_xlnm._FilterDatabase" localSheetId="27" hidden="1">lifterInfoUploadRequest!#REF!</definedName>
    <definedName name="_xlnm._FilterDatabase" localSheetId="15" hidden="1">lifterLockRequest!#REF!</definedName>
    <definedName name="_xlnm._FilterDatabase" localSheetId="23" hidden="1">lifterMoveRequest!#REF!</definedName>
    <definedName name="_xlnm._FilterDatabase" localSheetId="24" hidden="1">lifterMoveTaskReport!#REF!</definedName>
    <definedName name="_xlnm._FilterDatabase" localSheetId="11" hidden="1">lifterOperationChangeRequest!#REF!</definedName>
    <definedName name="_xlnm._FilterDatabase" localSheetId="12" hidden="1">lifterOperationModeReport!#REF!</definedName>
    <definedName name="_xlnm._FilterDatabase" localSheetId="13" hidden="1">lifterStatusReport!#REF!</definedName>
    <definedName name="_xlnm._FilterDatabase" localSheetId="14" hidden="1">lifterUnlockRequest!#REF!</definedName>
    <definedName name="_xlnm._FilterDatabase" localSheetId="4" hidden="1">List!$E$1:$E$34</definedName>
    <definedName name="_xlnm._FilterDatabase" localSheetId="10" hidden="1">queryLifterInfo!#REF!</definedName>
    <definedName name="_xlnm._FilterDatabase" localSheetId="6" hidden="1">reportAlive!#REF!</definedName>
    <definedName name="_xlnm._FilterDatabase" localSheetId="8" hidden="1">switchRunMode!#REF!</definedName>
  </definedNames>
  <calcPr calcId="191029"/>
</workbook>
</file>

<file path=xl/calcChain.xml><?xml version="1.0" encoding="utf-8"?>
<calcChain xmlns="http://schemas.openxmlformats.org/spreadsheetml/2006/main">
  <c r="B21" i="2" l="1"/>
  <c r="B27" i="2"/>
  <c r="B26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2" i="2"/>
  <c r="B23" i="2"/>
  <c r="B24" i="2"/>
  <c r="B25" i="2"/>
</calcChain>
</file>

<file path=xl/sharedStrings.xml><?xml version="1.0" encoding="utf-8"?>
<sst xmlns="http://schemas.openxmlformats.org/spreadsheetml/2006/main" count="2259" uniqueCount="490">
  <si>
    <t>LIST</t>
    <phoneticPr fontId="1" type="noConversion"/>
  </si>
  <si>
    <t>項次</t>
    <phoneticPr fontId="1" type="noConversion"/>
  </si>
  <si>
    <t>備註</t>
    <phoneticPr fontId="1" type="noConversion"/>
  </si>
  <si>
    <t>作用</t>
    <phoneticPr fontId="1" type="noConversion"/>
  </si>
  <si>
    <t>執行方向</t>
    <phoneticPr fontId="1" type="noConversion"/>
  </si>
  <si>
    <t>說明</t>
    <phoneticPr fontId="1" type="noConversion"/>
  </si>
  <si>
    <t>Document Version Information</t>
  </si>
  <si>
    <t>Project Name:</t>
  </si>
  <si>
    <t>Project ID:</t>
  </si>
  <si>
    <t>Document Title :</t>
  </si>
  <si>
    <t>Project Manager:</t>
  </si>
  <si>
    <t>Document Version Date:</t>
  </si>
  <si>
    <t>Prepared By:</t>
  </si>
  <si>
    <t>Preparation Date:</t>
  </si>
  <si>
    <t>Reviewed By:</t>
  </si>
  <si>
    <t>Review Date:</t>
  </si>
  <si>
    <t>Document Version History</t>
  </si>
  <si>
    <t>Ver. No.</t>
  </si>
  <si>
    <t>Ver. Date
(yyyy/mm/dd)</t>
    <phoneticPr fontId="4" type="noConversion"/>
  </si>
  <si>
    <t>Prepared By</t>
  </si>
  <si>
    <t>Reviewed By</t>
  </si>
  <si>
    <t>Description</t>
  </si>
  <si>
    <t>1.0.0</t>
    <phoneticPr fontId="1" type="noConversion"/>
  </si>
  <si>
    <t>回覆系統時間</t>
    <phoneticPr fontId="1" type="noConversion"/>
  </si>
  <si>
    <t>values</t>
    <phoneticPr fontId="1" type="noConversion"/>
  </si>
  <si>
    <t>array</t>
    <phoneticPr fontId="1" type="noConversion"/>
  </si>
  <si>
    <t>Device請求進行對時</t>
    <phoneticPr fontId="1" type="noConversion"/>
  </si>
  <si>
    <t>廠別(暫時未用到)</t>
    <phoneticPr fontId="1" type="noConversion"/>
  </si>
  <si>
    <t>線別(暫時未用到)</t>
    <phoneticPr fontId="1" type="noConversion"/>
  </si>
  <si>
    <t>異常代碼</t>
    <phoneticPr fontId="1" type="noConversion"/>
  </si>
  <si>
    <t>異常訊息</t>
    <phoneticPr fontId="1" type="noConversion"/>
  </si>
  <si>
    <t>異常類型，[SET / RESET]</t>
    <phoneticPr fontId="1" type="noConversion"/>
  </si>
  <si>
    <t>機台回報異常事件</t>
    <phoneticPr fontId="1" type="noConversion"/>
  </si>
  <si>
    <t>回報系統活躍</t>
    <phoneticPr fontId="1" type="noConversion"/>
  </si>
  <si>
    <t>A:Online / M:Offline</t>
    <phoneticPr fontId="1" type="noConversion"/>
  </si>
  <si>
    <t>下次回報間隔n秒</t>
    <phoneticPr fontId="1" type="noConversion"/>
  </si>
  <si>
    <t>Document Version No:</t>
    <phoneticPr fontId="1" type="noConversion"/>
  </si>
  <si>
    <t>Message Formation</t>
    <phoneticPr fontId="1" type="noConversion"/>
  </si>
  <si>
    <t>VERSION</t>
    <phoneticPr fontId="1" type="noConversion"/>
  </si>
  <si>
    <t>All message should follow this message format define.</t>
    <phoneticPr fontId="1" type="noConversion"/>
  </si>
  <si>
    <t>UPDATE TIME</t>
    <phoneticPr fontId="1" type="noConversion"/>
  </si>
  <si>
    <t>factory</t>
  </si>
  <si>
    <t>Transition ID</t>
    <phoneticPr fontId="1" type="noConversion"/>
  </si>
  <si>
    <t>Function Name</t>
    <phoneticPr fontId="1" type="noConversion"/>
  </si>
  <si>
    <t>factory</t>
    <phoneticPr fontId="1" type="noConversion"/>
  </si>
  <si>
    <t xml:space="preserve">e.g. 20200402172959123456
Format : DATE(yyyyMMddHHmmssfff)+rrr
where fff is 3 digits of milliseconds and
rrr is 3 digits of random number
</t>
    <phoneticPr fontId="1" type="noConversion"/>
  </si>
  <si>
    <t>Device請求進行對時回復</t>
    <phoneticPr fontId="1" type="noConversion"/>
  </si>
  <si>
    <t>CT.Yeh</t>
    <phoneticPr fontId="1" type="noConversion"/>
  </si>
  <si>
    <t>CT</t>
    <phoneticPr fontId="4" type="noConversion"/>
  </si>
  <si>
    <t>Draft Version</t>
    <phoneticPr fontId="4" type="noConversion"/>
  </si>
  <si>
    <t>電梯未在AGV 對應樓層</t>
    <phoneticPr fontId="1" type="noConversion"/>
  </si>
  <si>
    <t>電梯已到AGV 對應樓層</t>
    <phoneticPr fontId="1" type="noConversion"/>
  </si>
  <si>
    <t>v 1.0</t>
    <phoneticPr fontId="1" type="noConversion"/>
  </si>
  <si>
    <t>設備</t>
    <phoneticPr fontId="1" type="noConversion"/>
  </si>
  <si>
    <t>設備命名</t>
    <phoneticPr fontId="1" type="noConversion"/>
  </si>
  <si>
    <t>功能名稱/機台別</t>
    <phoneticPr fontId="1" type="noConversion"/>
  </si>
  <si>
    <t>WALSIN</t>
    <phoneticPr fontId="1" type="noConversion"/>
  </si>
  <si>
    <t>Exchange Name</t>
    <phoneticPr fontId="1" type="noConversion"/>
  </si>
  <si>
    <t>IP</t>
    <phoneticPr fontId="1" type="noConversion"/>
  </si>
  <si>
    <t>Port</t>
    <phoneticPr fontId="1" type="noConversion"/>
  </si>
  <si>
    <t>192.168.0.x</t>
    <phoneticPr fontId="1" type="noConversion"/>
  </si>
  <si>
    <t>(以華新麗華提供為主)</t>
    <phoneticPr fontId="1" type="noConversion"/>
  </si>
  <si>
    <t>Rabbit MQ Server</t>
    <phoneticPr fontId="1" type="noConversion"/>
  </si>
  <si>
    <t>Server1</t>
    <phoneticPr fontId="1" type="noConversion"/>
  </si>
  <si>
    <t>Server2</t>
  </si>
  <si>
    <t>Memo</t>
    <phoneticPr fontId="1" type="noConversion"/>
  </si>
  <si>
    <t>input queue name</t>
    <phoneticPr fontId="1" type="noConversion"/>
  </si>
  <si>
    <t>reply queue name</t>
    <phoneticPr fontId="1" type="noConversion"/>
  </si>
  <si>
    <t xml:space="preserve"> Qos</t>
    <phoneticPr fontId="1" type="noConversion"/>
  </si>
  <si>
    <t>reply routing key</t>
    <phoneticPr fontId="1" type="noConversion"/>
  </si>
  <si>
    <t>input routing key</t>
    <phoneticPr fontId="1" type="noConversion"/>
  </si>
  <si>
    <t>Message Example
 (JSON)</t>
    <phoneticPr fontId="1" type="noConversion"/>
  </si>
  <si>
    <t>varchar(10)</t>
    <phoneticPr fontId="1" type="noConversion"/>
  </si>
  <si>
    <t>任務狀態報告</t>
    <phoneticPr fontId="1" type="noConversion"/>
  </si>
  <si>
    <t>範例</t>
    <phoneticPr fontId="1" type="noConversion"/>
  </si>
  <si>
    <t>"WALSIN"</t>
    <phoneticPr fontId="1" type="noConversion"/>
  </si>
  <si>
    <t>""</t>
    <phoneticPr fontId="1" type="noConversion"/>
  </si>
  <si>
    <t>yyyy/MM/dd/ HH:mm:ss</t>
    <phoneticPr fontId="1" type="noConversion"/>
  </si>
  <si>
    <r>
      <t xml:space="preserve">result </t>
    </r>
    <r>
      <rPr>
        <sz val="10"/>
        <color theme="1"/>
        <rFont val="微軟正黑體"/>
        <family val="2"/>
        <charset val="136"/>
      </rPr>
      <t>定義</t>
    </r>
    <phoneticPr fontId="1" type="noConversion"/>
  </si>
  <si>
    <t>"OK","NG"</t>
    <phoneticPr fontId="1" type="noConversion"/>
  </si>
  <si>
    <r>
      <rPr>
        <sz val="10"/>
        <color theme="1"/>
        <rFont val="微軟正黑體"/>
        <family val="2"/>
        <charset val="136"/>
      </rPr>
      <t>自定義字串最長</t>
    </r>
    <r>
      <rPr>
        <sz val="10"/>
        <color theme="1"/>
        <rFont val="Arial"/>
        <family val="2"/>
      </rPr>
      <t>10</t>
    </r>
    <r>
      <rPr>
        <sz val="10"/>
        <color theme="1"/>
        <rFont val="微軟正黑體"/>
        <family val="2"/>
        <charset val="136"/>
      </rPr>
      <t>碼，</t>
    </r>
    <r>
      <rPr>
        <sz val="10"/>
        <color theme="1"/>
        <rFont val="Arial"/>
        <family val="2"/>
      </rPr>
      <t>ex:"000000"</t>
    </r>
    <phoneticPr fontId="1" type="noConversion"/>
  </si>
  <si>
    <r>
      <rPr>
        <sz val="10"/>
        <color theme="1"/>
        <rFont val="微軟正黑體"/>
        <family val="2"/>
        <charset val="136"/>
      </rPr>
      <t>自定義訊息字串最長</t>
    </r>
    <r>
      <rPr>
        <sz val="10"/>
        <color theme="1"/>
        <rFont val="Arial"/>
        <family val="2"/>
      </rPr>
      <t>255</t>
    </r>
    <r>
      <rPr>
        <sz val="10"/>
        <color theme="1"/>
        <rFont val="微軟正黑體"/>
        <family val="2"/>
        <charset val="136"/>
      </rPr>
      <t>碼.</t>
    </r>
    <phoneticPr fontId="1" type="noConversion"/>
  </si>
  <si>
    <t>varchar(20)</t>
    <phoneticPr fontId="1" type="noConversion"/>
  </si>
  <si>
    <t>Direction</t>
    <phoneticPr fontId="1" type="noConversion"/>
  </si>
  <si>
    <t>回報活躍來源 AGVC、LIFTER、ASRS</t>
    <phoneticPr fontId="1" type="noConversion"/>
  </si>
  <si>
    <t>回報系統活躍Reply</t>
    <phoneticPr fontId="1" type="noConversion"/>
  </si>
  <si>
    <t>回報切換Online/Offline</t>
    <phoneticPr fontId="1" type="noConversion"/>
  </si>
  <si>
    <t>"A"</t>
    <phoneticPr fontId="1" type="noConversion"/>
  </si>
  <si>
    <t>回報切換Online/Offline Reply</t>
    <phoneticPr fontId="1" type="noConversion"/>
  </si>
  <si>
    <t>MCS回復機台異常上報 Reply</t>
    <phoneticPr fontId="1" type="noConversion"/>
  </si>
  <si>
    <t>"9999"</t>
    <phoneticPr fontId="1" type="noConversion"/>
  </si>
  <si>
    <t>varchar(255)</t>
    <phoneticPr fontId="1" type="noConversion"/>
  </si>
  <si>
    <t>"SET"</t>
    <phoneticPr fontId="1" type="noConversion"/>
  </si>
  <si>
    <t>"ALARM"</t>
    <phoneticPr fontId="1" type="noConversion"/>
  </si>
  <si>
    <t>"20200402172959123456"</t>
    <phoneticPr fontId="1" type="noConversion"/>
  </si>
  <si>
    <t>"Error Message"</t>
    <phoneticPr fontId="1" type="noConversion"/>
  </si>
  <si>
    <t>"ALARM": 造成搬送停止&amp;停機的異常。
"WARNING": 非搬送停止&amp;停機的異常。</t>
    <phoneticPr fontId="1" type="noConversion"/>
  </si>
  <si>
    <t>object</t>
    <phoneticPr fontId="1" type="noConversion"/>
  </si>
  <si>
    <t>position</t>
  </si>
  <si>
    <t>載具編號</t>
    <phoneticPr fontId="1" type="noConversion"/>
  </si>
  <si>
    <t>"OK"</t>
    <phoneticPr fontId="1" type="noConversion"/>
  </si>
  <si>
    <t>"Y"</t>
    <phoneticPr fontId="1" type="noConversion"/>
  </si>
  <si>
    <t>Body 內容表</t>
    <phoneticPr fontId="1" type="noConversion"/>
  </si>
  <si>
    <t>type_1</t>
    <phoneticPr fontId="1" type="noConversion"/>
  </si>
  <si>
    <t>type_2</t>
  </si>
  <si>
    <t>type_3</t>
  </si>
  <si>
    <t>name_1</t>
    <phoneticPr fontId="1" type="noConversion"/>
  </si>
  <si>
    <t>name_2</t>
  </si>
  <si>
    <t>name_3</t>
  </si>
  <si>
    <t>name_4</t>
  </si>
  <si>
    <t>type_4</t>
  </si>
  <si>
    <t>priority</t>
    <phoneticPr fontId="1" type="noConversion"/>
  </si>
  <si>
    <t>"50"</t>
    <phoneticPr fontId="1" type="noConversion"/>
  </si>
  <si>
    <t>儲區優先等級(0~99)</t>
    <phoneticPr fontId="1" type="noConversion"/>
  </si>
  <si>
    <t>lineID</t>
    <phoneticPr fontId="1" type="noConversion"/>
  </si>
  <si>
    <t>aliveSource</t>
    <phoneticPr fontId="1" type="noConversion"/>
  </si>
  <si>
    <t>systemID</t>
    <phoneticPr fontId="1" type="noConversion"/>
  </si>
  <si>
    <t>nextInterval</t>
    <phoneticPr fontId="1" type="noConversion"/>
  </si>
  <si>
    <t>systemTime</t>
    <phoneticPr fontId="1" type="noConversion"/>
  </si>
  <si>
    <r>
      <t xml:space="preserve">rtnCode </t>
    </r>
    <r>
      <rPr>
        <sz val="10"/>
        <color theme="1"/>
        <rFont val="微軟正黑體"/>
        <family val="2"/>
        <charset val="136"/>
      </rPr>
      <t>定義</t>
    </r>
    <phoneticPr fontId="1" type="noConversion"/>
  </si>
  <si>
    <r>
      <t xml:space="preserve">rtnMsg </t>
    </r>
    <r>
      <rPr>
        <sz val="10"/>
        <color theme="1"/>
        <rFont val="微軟正黑體"/>
        <family val="2"/>
        <charset val="136"/>
      </rPr>
      <t>定義</t>
    </r>
    <phoneticPr fontId="1" type="noConversion"/>
  </si>
  <si>
    <t>runMode</t>
    <phoneticPr fontId="1" type="noConversion"/>
  </si>
  <si>
    <t>switchRunMode</t>
    <phoneticPr fontId="1" type="noConversion"/>
  </si>
  <si>
    <t>reportAlive</t>
    <phoneticPr fontId="1" type="noConversion"/>
  </si>
  <si>
    <t>dateTimeSyncRequest</t>
    <phoneticPr fontId="1" type="noConversion"/>
  </si>
  <si>
    <t>alarmReport</t>
    <phoneticPr fontId="1" type="noConversion"/>
  </si>
  <si>
    <t>toolType</t>
    <phoneticPr fontId="1" type="noConversion"/>
  </si>
  <si>
    <t>toolID</t>
    <phoneticPr fontId="1" type="noConversion"/>
  </si>
  <si>
    <t>dispatchID</t>
    <phoneticPr fontId="1" type="noConversion"/>
  </si>
  <si>
    <t>alarmCode</t>
    <phoneticPr fontId="1" type="noConversion"/>
  </si>
  <si>
    <t>alarmText</t>
    <phoneticPr fontId="1" type="noConversion"/>
  </si>
  <si>
    <t>alarmType</t>
    <phoneticPr fontId="1" type="noConversion"/>
  </si>
  <si>
    <t>alarmLevel</t>
    <phoneticPr fontId="1" type="noConversion"/>
  </si>
  <si>
    <t>alarmSource</t>
    <phoneticPr fontId="1" type="noConversion"/>
  </si>
  <si>
    <t>carrierID</t>
    <phoneticPr fontId="1" type="noConversion"/>
  </si>
  <si>
    <t>posType</t>
    <phoneticPr fontId="1" type="noConversion"/>
  </si>
  <si>
    <t>posStr</t>
    <phoneticPr fontId="1" type="noConversion"/>
  </si>
  <si>
    <t>varchar(50)</t>
    <phoneticPr fontId="1" type="noConversion"/>
  </si>
  <si>
    <t>異常任務ID依照MCS給定的值填入，其餘狀況則填入"NOTASK"
分配任務編號
如果是MCS下達下來的自動指令 : 
"20200402172959123456"
如果是MCS下達下來的手動指令 : 
"OPI_20200402172959123456"
ID Format : Date(yyyyMMddHHmmssfff)+rrr
where fff is 3 digits of milliseconds and rrr is 3 digits of random number.</t>
    <phoneticPr fontId="1" type="noConversion"/>
  </si>
  <si>
    <t>operationMode</t>
    <phoneticPr fontId="1" type="noConversion"/>
  </si>
  <si>
    <t>carrierReportEvent</t>
    <phoneticPr fontId="1" type="noConversion"/>
  </si>
  <si>
    <t>carrierMoveCancelByMCS</t>
    <phoneticPr fontId="1" type="noConversion"/>
  </si>
  <si>
    <t>cancelTaskReport</t>
    <phoneticPr fontId="1" type="noConversion"/>
  </si>
  <si>
    <t>eventType</t>
    <phoneticPr fontId="1" type="noConversion"/>
  </si>
  <si>
    <t>機台上報線纜位置變更事件Reply</t>
    <phoneticPr fontId="1" type="noConversion"/>
  </si>
  <si>
    <t>positions</t>
    <phoneticPr fontId="1" type="noConversion"/>
  </si>
  <si>
    <t>離開的電梯編號</t>
    <phoneticPr fontId="1" type="noConversion"/>
  </si>
  <si>
    <t>e.g. 20200402172959123456</t>
    <phoneticPr fontId="1" type="noConversion"/>
  </si>
  <si>
    <t>發生火警電梯編號</t>
    <phoneticPr fontId="1" type="noConversion"/>
  </si>
  <si>
    <t>通知AGVC任務取消</t>
    <phoneticPr fontId="1" type="noConversion"/>
  </si>
  <si>
    <t>cancelResult</t>
    <phoneticPr fontId="1" type="noConversion"/>
  </si>
  <si>
    <t>取消任務編號</t>
    <phoneticPr fontId="1" type="noConversion"/>
  </si>
  <si>
    <t>"OK"，"NG"  (MCS不會立刻刪除任務，需等taskReport)</t>
    <phoneticPr fontId="1" type="noConversion"/>
  </si>
  <si>
    <t>cancelReason</t>
    <phoneticPr fontId="1" type="noConversion"/>
  </si>
  <si>
    <t>取消任務補充說明"人事時地物"</t>
    <phoneticPr fontId="1" type="noConversion"/>
  </si>
  <si>
    <t>taskResult</t>
    <phoneticPr fontId="1" type="noConversion"/>
  </si>
  <si>
    <t xml:space="preserve">"OK"，"NG" </t>
    <phoneticPr fontId="1" type="noConversion"/>
  </si>
  <si>
    <t>任務狀態報告回覆</t>
    <phoneticPr fontId="1" type="noConversion"/>
  </si>
  <si>
    <t>AGV任務狀態報告</t>
    <phoneticPr fontId="1" type="noConversion"/>
  </si>
  <si>
    <t>AGV 電梯狀態查詢</t>
    <phoneticPr fontId="1" type="noConversion"/>
  </si>
  <si>
    <t>varchar(200)</t>
    <phoneticPr fontId="1" type="noConversion"/>
  </si>
  <si>
    <t>"D0800001"</t>
  </si>
  <si>
    <t>""</t>
    <phoneticPr fontId="1" type="noConversion"/>
  </si>
  <si>
    <t>位置</t>
  </si>
  <si>
    <t>命令</t>
  </si>
  <si>
    <t>無命令</t>
  </si>
  <si>
    <t>命令待執行</t>
  </si>
  <si>
    <t>命令執行中</t>
  </si>
  <si>
    <t>儲位(Enable)</t>
  </si>
  <si>
    <t>carrier_state=STAY</t>
  </si>
  <si>
    <t>pos_type=SHELF</t>
  </si>
  <si>
    <t>carrier_state=WAIT</t>
  </si>
  <si>
    <t>carrier_state=MOVING</t>
  </si>
  <si>
    <t>pos_type=SHELF/MOVING</t>
  </si>
  <si>
    <t>儲位(Disable)</t>
  </si>
  <si>
    <t>pos_type=STOP</t>
  </si>
  <si>
    <t>pos_type=STOP/MOVING</t>
  </si>
  <si>
    <t>pos_type=MOVING</t>
  </si>
  <si>
    <t>carrier_state=OUT</t>
  </si>
  <si>
    <t>pos_type=LEAVE</t>
  </si>
  <si>
    <t>N/A</t>
  </si>
  <si>
    <t>Carrier State and Position Type Reference Table</t>
    <phoneticPr fontId="1" type="noConversion"/>
  </si>
  <si>
    <t>離開搬送設備控制</t>
    <phoneticPr fontId="1" type="noConversion"/>
  </si>
  <si>
    <t>TURN_PORT</t>
    <phoneticPr fontId="1" type="noConversion"/>
  </si>
  <si>
    <t>STAGE_PORT</t>
    <phoneticPr fontId="1" type="noConversion"/>
  </si>
  <si>
    <t>pos_type=STAGE_PORT</t>
    <phoneticPr fontId="1" type="noConversion"/>
  </si>
  <si>
    <t>pos_type=STAGE_PORT/MOVING</t>
    <phoneticPr fontId="1" type="noConversion"/>
  </si>
  <si>
    <t>pos_type=TURN_PORT</t>
    <phoneticPr fontId="1" type="noConversion"/>
  </si>
  <si>
    <t>pos_type=TURN_PORT/MOVING</t>
    <phoneticPr fontId="1" type="noConversion"/>
  </si>
  <si>
    <t>搬送設備(CV/AGV)</t>
    <phoneticPr fontId="1" type="noConversion"/>
  </si>
  <si>
    <t>LIFTER_PORT</t>
    <phoneticPr fontId="1" type="noConversion"/>
  </si>
  <si>
    <t>pos_type=LIFTER_PORT</t>
    <phoneticPr fontId="1" type="noConversion"/>
  </si>
  <si>
    <t>pos_type=LIFTER_PORT/MOVING</t>
    <phoneticPr fontId="1" type="noConversion"/>
  </si>
  <si>
    <t>來源載具所在地</t>
    <phoneticPr fontId="1" type="noConversion"/>
  </si>
  <si>
    <t>載具放置目標區</t>
    <phoneticPr fontId="1" type="noConversion"/>
  </si>
  <si>
    <t>載具編號 (若無實體ID，會給虛擬載具編號 )</t>
    <phoneticPr fontId="1" type="noConversion"/>
  </si>
  <si>
    <t>sourcePosition</t>
    <phoneticPr fontId="1" type="noConversion"/>
  </si>
  <si>
    <t>targetPosition</t>
    <phoneticPr fontId="1" type="noConversion"/>
  </si>
  <si>
    <t>cmdCol1</t>
    <phoneticPr fontId="1" type="noConversion"/>
  </si>
  <si>
    <t>cmdCol2</t>
  </si>
  <si>
    <t>cmdCol3</t>
  </si>
  <si>
    <t>預留任務欄位</t>
    <phoneticPr fontId="1" type="noConversion"/>
  </si>
  <si>
    <t>taskStatus</t>
    <phoneticPr fontId="1" type="noConversion"/>
  </si>
  <si>
    <t>"START"</t>
    <phoneticPr fontId="1" type="noConversion"/>
  </si>
  <si>
    <t>errorCode</t>
    <phoneticPr fontId="1" type="noConversion"/>
  </si>
  <si>
    <t>alarmDateTime</t>
    <phoneticPr fontId="1" type="noConversion"/>
  </si>
  <si>
    <t>事件發生時間</t>
    <phoneticPr fontId="1" type="noConversion"/>
  </si>
  <si>
    <t>taskEvnetDateTime</t>
    <phoneticPr fontId="1" type="noConversion"/>
  </si>
  <si>
    <t>狀態發生時間</t>
    <phoneticPr fontId="1" type="noConversion"/>
  </si>
  <si>
    <t>errorDesc</t>
    <phoneticPr fontId="1" type="noConversion"/>
  </si>
  <si>
    <t>命令因異常結束時，填入異常描述文字。</t>
    <phoneticPr fontId="1" type="noConversion"/>
  </si>
  <si>
    <t>預留狀態欄位</t>
    <phoneticPr fontId="1" type="noConversion"/>
  </si>
  <si>
    <t>taskCol1</t>
    <phoneticPr fontId="1" type="noConversion"/>
  </si>
  <si>
    <t>taskCol2</t>
    <phoneticPr fontId="1" type="noConversion"/>
  </si>
  <si>
    <t>taskCol3</t>
    <phoneticPr fontId="1" type="noConversion"/>
  </si>
  <si>
    <t>lifters</t>
    <phoneticPr fontId="1" type="noConversion"/>
  </si>
  <si>
    <t>array</t>
    <phoneticPr fontId="1" type="noConversion"/>
  </si>
  <si>
    <t>lifter</t>
    <phoneticPr fontId="1" type="noConversion"/>
  </si>
  <si>
    <t>object</t>
    <phoneticPr fontId="1" type="noConversion"/>
  </si>
  <si>
    <t>lifterNo</t>
    <phoneticPr fontId="1" type="noConversion"/>
  </si>
  <si>
    <t>lifterStatus</t>
    <phoneticPr fontId="1" type="noConversion"/>
  </si>
  <si>
    <t>"1"</t>
    <phoneticPr fontId="1" type="noConversion"/>
  </si>
  <si>
    <t>當前樓層</t>
    <phoneticPr fontId="1" type="noConversion"/>
  </si>
  <si>
    <t>電梯編號</t>
    <phoneticPr fontId="1" type="noConversion"/>
  </si>
  <si>
    <t>lifterCmd</t>
    <phoneticPr fontId="1" type="noConversion"/>
  </si>
  <si>
    <t>doorStatus</t>
    <phoneticPr fontId="1" type="noConversion"/>
  </si>
  <si>
    <t>"CLOSE"</t>
    <phoneticPr fontId="1" type="noConversion"/>
  </si>
  <si>
    <t>"OPEN"、"CLOSE"</t>
    <phoneticPr fontId="1" type="noConversion"/>
  </si>
  <si>
    <t>"UP"、"DOWN" :電梯移動方向，無移動為空白</t>
    <phoneticPr fontId="1" type="noConversion"/>
  </si>
  <si>
    <t>"UNLOCK"</t>
    <phoneticPr fontId="1" type="noConversion"/>
  </si>
  <si>
    <t>fireAlarm</t>
    <phoneticPr fontId="1" type="noConversion"/>
  </si>
  <si>
    <t>"OFF"</t>
    <phoneticPr fontId="1" type="noConversion"/>
  </si>
  <si>
    <t>"LV11"</t>
    <phoneticPr fontId="1" type="noConversion"/>
  </si>
  <si>
    <t>"D0800001"</t>
    <phoneticPr fontId="1" type="noConversion"/>
  </si>
  <si>
    <t>direction</t>
    <phoneticPr fontId="1" type="noConversion"/>
  </si>
  <si>
    <t>currentFloor</t>
    <phoneticPr fontId="1" type="noConversion"/>
  </si>
  <si>
    <t>電梯狀態":
"IDLE"、MOVING"、"STOP"、"MAINTAIN"</t>
    <phoneticPr fontId="1" type="noConversion"/>
  </si>
  <si>
    <t>"MOVING"</t>
    <phoneticPr fontId="1" type="noConversion"/>
  </si>
  <si>
    <t>Rabbit MQ Spec for Lifter</t>
    <phoneticPr fontId="4" type="noConversion"/>
  </si>
  <si>
    <t>LIFTER</t>
    <phoneticPr fontId="1" type="noConversion"/>
  </si>
  <si>
    <t>lifterScenario</t>
    <phoneticPr fontId="1" type="noConversion"/>
  </si>
  <si>
    <t>Lifter Scenario</t>
    <phoneticPr fontId="1" type="noConversion"/>
  </si>
  <si>
    <r>
      <t>Offline/Online</t>
    </r>
    <r>
      <rPr>
        <b/>
        <sz val="12"/>
        <rFont val="細明體"/>
        <family val="3"/>
        <charset val="136"/>
      </rPr>
      <t>切換</t>
    </r>
    <phoneticPr fontId="1" type="noConversion"/>
  </si>
  <si>
    <r>
      <t xml:space="preserve">Lifter RunMode </t>
    </r>
    <r>
      <rPr>
        <b/>
        <sz val="12"/>
        <color rgb="FFFF0000"/>
        <rFont val="細明體"/>
        <family val="3"/>
        <charset val="136"/>
      </rPr>
      <t>切換</t>
    </r>
    <r>
      <rPr>
        <b/>
        <sz val="12"/>
        <color rgb="FFFF0000"/>
        <rFont val="微軟正黑體"/>
        <family val="3"/>
        <charset val="136"/>
      </rPr>
      <t>要求</t>
    </r>
    <phoneticPr fontId="1" type="noConversion"/>
  </si>
  <si>
    <t>電梯指令產生</t>
    <phoneticPr fontId="1" type="noConversion"/>
  </si>
  <si>
    <t>電梯任務失敗</t>
    <phoneticPr fontId="1" type="noConversion"/>
  </si>
  <si>
    <t>AGV 電梯交握方式</t>
    <phoneticPr fontId="1" type="noConversion"/>
  </si>
  <si>
    <t>貨梯一般報警</t>
    <phoneticPr fontId="1" type="noConversion"/>
  </si>
  <si>
    <t>貨梯防火報警</t>
    <phoneticPr fontId="1" type="noConversion"/>
  </si>
  <si>
    <t>L11~L12貨梯手動入料</t>
    <phoneticPr fontId="1" type="noConversion"/>
  </si>
  <si>
    <t>L11~L12貨梯手動出料</t>
    <phoneticPr fontId="1" type="noConversion"/>
  </si>
  <si>
    <t>Alive Report</t>
    <phoneticPr fontId="1" type="noConversion"/>
  </si>
  <si>
    <t>queryLifterInfo</t>
    <phoneticPr fontId="1" type="noConversion"/>
  </si>
  <si>
    <t>LCS→MCS</t>
  </si>
  <si>
    <t>LCS切換Online /Offline</t>
  </si>
  <si>
    <t>LCS對上位提出對時需求</t>
  </si>
  <si>
    <t>LCS上報Alarm事件</t>
  </si>
  <si>
    <t>MCS→LCS</t>
  </si>
  <si>
    <t>上位指派任務給LCS</t>
  </si>
  <si>
    <t xml:space="preserve">LCS -&gt; MCS
</t>
  </si>
  <si>
    <t>LCS代碼(設備代碼)</t>
  </si>
  <si>
    <t>MCS -&gt; LCS</t>
  </si>
  <si>
    <t>異常的LCS代碼；如果為子設備異常則填空</t>
  </si>
  <si>
    <t xml:space="preserve">MCS -&gt; LCS
</t>
  </si>
  <si>
    <t>LCS -&gt; MCS</t>
  </si>
  <si>
    <t>當前任務編號
如果是MCS下達下來的自動指令 : 
20200402172959123456
如果是MCS下達下來的手動指令 : 
OPI_20200402172959123456
如果是機台建立的半自動指令 : 
LCS_20200402172959123456</t>
  </si>
  <si>
    <t>上位指派任務給LCS回覆</t>
  </si>
  <si>
    <t>解鎖電梯</t>
    <phoneticPr fontId="1" type="noConversion"/>
  </si>
  <si>
    <t>電梯指令下達</t>
    <phoneticPr fontId="1" type="noConversion"/>
  </si>
  <si>
    <t>鎖定電梯及開門</t>
    <phoneticPr fontId="1" type="noConversion"/>
  </si>
  <si>
    <t>電梯開門完成</t>
    <phoneticPr fontId="1" type="noConversion"/>
  </si>
  <si>
    <t>通知電梯AGV開始作業。</t>
    <phoneticPr fontId="1" type="noConversion"/>
  </si>
  <si>
    <t>通知電梯AGV已經離開</t>
    <phoneticPr fontId="1" type="noConversion"/>
  </si>
  <si>
    <t>防火報警訊息事件</t>
    <phoneticPr fontId="1" type="noConversion"/>
  </si>
  <si>
    <t>通知電梯，人員已準備手動搬運架裝入電梯</t>
    <phoneticPr fontId="1" type="noConversion"/>
  </si>
  <si>
    <t>查詢Lifter資訊</t>
    <phoneticPr fontId="1" type="noConversion"/>
  </si>
  <si>
    <t>lifterInfoUpload</t>
    <phoneticPr fontId="1" type="noConversion"/>
  </si>
  <si>
    <t>MCS -&gt; LCS</t>
    <phoneticPr fontId="1" type="noConversion"/>
  </si>
  <si>
    <t xml:space="preserve">LCS -&gt; MCS
</t>
    <phoneticPr fontId="1" type="noConversion"/>
  </si>
  <si>
    <t>上報時問間隔10 ~ 60 秒,0 表示停止</t>
    <phoneticPr fontId="1" type="noConversion"/>
  </si>
  <si>
    <t>LCS上報系統Alive</t>
    <phoneticPr fontId="1" type="noConversion"/>
  </si>
  <si>
    <t>"LIFT01"</t>
  </si>
  <si>
    <t>"LIFT01_IO"</t>
  </si>
  <si>
    <t>"LIFT"</t>
    <phoneticPr fontId="1" type="noConversion"/>
  </si>
  <si>
    <t>"LV01"</t>
    <phoneticPr fontId="1" type="noConversion"/>
  </si>
  <si>
    <t>自定義:異常子設備單元類型，[DOOR、LIGHT、…...]</t>
    <phoneticPr fontId="1" type="noConversion"/>
  </si>
  <si>
    <t>異常來源，[LIFT、DOOR、LIGHT、….]</t>
    <phoneticPr fontId="1" type="noConversion"/>
  </si>
  <si>
    <t>電梯編號或子設備編號；如果為主設備LCS異常則填空</t>
    <phoneticPr fontId="1" type="noConversion"/>
  </si>
  <si>
    <t>"LIFTER"</t>
    <phoneticPr fontId="1" type="noConversion"/>
  </si>
  <si>
    <t>電梯狀態定期更新上傳</t>
    <phoneticPr fontId="1" type="noConversion"/>
  </si>
  <si>
    <t>lifterUnlockRequest</t>
    <phoneticPr fontId="1" type="noConversion"/>
  </si>
  <si>
    <t>lifterLockRequest</t>
    <phoneticPr fontId="1" type="noConversion"/>
  </si>
  <si>
    <t>lifterDoorOpenCompleted</t>
    <phoneticPr fontId="1" type="noConversion"/>
  </si>
  <si>
    <t>lifterStatusReport</t>
    <phoneticPr fontId="1" type="noConversion"/>
  </si>
  <si>
    <t xml:space="preserve">MCS_queryLifterInfo(string jsonString)
</t>
    <phoneticPr fontId="1" type="noConversion"/>
  </si>
  <si>
    <t>MCS_queryLifterInfoReply(string jsonString)</t>
    <phoneticPr fontId="1" type="noConversion"/>
  </si>
  <si>
    <t xml:space="preserve">MCS_alarmReport(string jsonString)
</t>
    <phoneticPr fontId="1" type="noConversion"/>
  </si>
  <si>
    <t>MCS_alarmReportReply(string jsonString)</t>
    <phoneticPr fontId="1" type="noConversion"/>
  </si>
  <si>
    <t xml:space="preserve">MCS_switchRunMode(string jsonString)
</t>
    <phoneticPr fontId="1" type="noConversion"/>
  </si>
  <si>
    <t>MCS_switchRunModeReply(string jsonString)</t>
    <phoneticPr fontId="1" type="noConversion"/>
  </si>
  <si>
    <t xml:space="preserve">MCS_dateTimeSyncRequest(string jsonString)
</t>
    <phoneticPr fontId="1" type="noConversion"/>
  </si>
  <si>
    <t>MCS_dateTimeSyncRequestReply(string jsonString)</t>
    <phoneticPr fontId="1" type="noConversion"/>
  </si>
  <si>
    <t xml:space="preserve">MCS -&gt; LCS
</t>
    <phoneticPr fontId="1" type="noConversion"/>
  </si>
  <si>
    <t>LCS -&gt; MCS</t>
    <phoneticPr fontId="1" type="noConversion"/>
  </si>
  <si>
    <t xml:space="preserve">MCS_lifterLockRequest(string jsonString)
</t>
    <phoneticPr fontId="1" type="noConversion"/>
  </si>
  <si>
    <t>MCS_lifterLockRequestReply(string jsonString)</t>
    <phoneticPr fontId="1" type="noConversion"/>
  </si>
  <si>
    <t xml:space="preserve">MCS_lifterDoorOpenCompleted(string jsonString)
</t>
    <phoneticPr fontId="1" type="noConversion"/>
  </si>
  <si>
    <t>MCS_lifterDoorOpenCompletedReply(string jsonString)</t>
    <phoneticPr fontId="1" type="noConversion"/>
  </si>
  <si>
    <t>MCS_lifterStatusReport(string jsonString)</t>
    <phoneticPr fontId="1" type="noConversion"/>
  </si>
  <si>
    <t xml:space="preserve">MCS_lifterStatusReportReply(string jsonString)
</t>
    <phoneticPr fontId="1" type="noConversion"/>
  </si>
  <si>
    <t xml:space="preserve">MCS_agvMovingInform(string jsonString)
</t>
    <phoneticPr fontId="1" type="noConversion"/>
  </si>
  <si>
    <t>MCS_agvMovingInformReply(string jsonString)</t>
    <phoneticPr fontId="1" type="noConversion"/>
  </si>
  <si>
    <t xml:space="preserve">MCS_agvOutLifterInform(string jsonString)
</t>
    <phoneticPr fontId="1" type="noConversion"/>
  </si>
  <si>
    <t>MCS_agvOutLifterInformReply(string jsonString)</t>
    <phoneticPr fontId="1" type="noConversion"/>
  </si>
  <si>
    <t>agvMovingInform</t>
    <phoneticPr fontId="1" type="noConversion"/>
  </si>
  <si>
    <t>agvOutLifterInform</t>
    <phoneticPr fontId="1" type="noConversion"/>
  </si>
  <si>
    <t>MCS_fireEventReport(string jsonString)</t>
    <phoneticPr fontId="1" type="noConversion"/>
  </si>
  <si>
    <t xml:space="preserve">MCS_fireEventReportReply(string jsonString)
</t>
    <phoneticPr fontId="1" type="noConversion"/>
  </si>
  <si>
    <t>MCS_carrierWaitIn(string jsonString)</t>
    <phoneticPr fontId="1" type="noConversion"/>
  </si>
  <si>
    <t xml:space="preserve">MCS_carrierWaitInReply(string jsonString)
</t>
    <phoneticPr fontId="1" type="noConversion"/>
  </si>
  <si>
    <t>fireEventReport</t>
    <phoneticPr fontId="1" type="noConversion"/>
  </si>
  <si>
    <t>carrierWaitIn</t>
    <phoneticPr fontId="1" type="noConversion"/>
  </si>
  <si>
    <t>carrierWaitOut</t>
    <phoneticPr fontId="1" type="noConversion"/>
  </si>
  <si>
    <t>lifterMoveRequest</t>
    <phoneticPr fontId="1" type="noConversion"/>
  </si>
  <si>
    <t>lifterMoveTaskReport</t>
    <phoneticPr fontId="1" type="noConversion"/>
  </si>
  <si>
    <t>電梯運行模式切換報告</t>
    <phoneticPr fontId="1" type="noConversion"/>
  </si>
  <si>
    <t xml:space="preserve">MCS_carrierWaitOut(string jsonString)
</t>
    <phoneticPr fontId="1" type="noConversion"/>
  </si>
  <si>
    <t>MCS_carrierWaitOutReply(string jsonString)</t>
    <phoneticPr fontId="1" type="noConversion"/>
  </si>
  <si>
    <t>MCS_lifterMoveRequest(string jsonString)</t>
    <phoneticPr fontId="1" type="noConversion"/>
  </si>
  <si>
    <t xml:space="preserve">MCS_lifterMoveRequestReply(string jsonString)
</t>
    <phoneticPr fontId="1" type="noConversion"/>
  </si>
  <si>
    <t>MCS_lifterMoveTaskReport(string jsonString)</t>
    <phoneticPr fontId="1" type="noConversion"/>
  </si>
  <si>
    <t xml:space="preserve">MCS_lifterMoveTaskReportReply(string jsonString)
</t>
    <phoneticPr fontId="1" type="noConversion"/>
  </si>
  <si>
    <t>上位取消Task任務</t>
    <phoneticPr fontId="1" type="noConversion"/>
  </si>
  <si>
    <t xml:space="preserve">MCS_carrierReportEvent(string jsonString)
</t>
    <phoneticPr fontId="1" type="noConversion"/>
  </si>
  <si>
    <t>"AGVC01"</t>
    <phoneticPr fontId="1" type="noConversion"/>
  </si>
  <si>
    <t>MCS_carrierReportEventReply(string jsonString)</t>
    <phoneticPr fontId="1" type="noConversion"/>
  </si>
  <si>
    <t>MCS -&gt; FLOS</t>
  </si>
  <si>
    <t xml:space="preserve">LCS-&gt; MCS
</t>
    <phoneticPr fontId="1" type="noConversion"/>
  </si>
  <si>
    <t>電梯運行模式切換要求</t>
    <phoneticPr fontId="1" type="noConversion"/>
  </si>
  <si>
    <t>架裝入出梯完成報告</t>
    <phoneticPr fontId="1" type="noConversion"/>
  </si>
  <si>
    <t>所有電梯狀態循環更新要求</t>
    <phoneticPr fontId="1" type="noConversion"/>
  </si>
  <si>
    <t>MCS→LCS</t>
    <phoneticPr fontId="1" type="noConversion"/>
  </si>
  <si>
    <t>LCS→MCS</t>
    <phoneticPr fontId="1" type="noConversion"/>
  </si>
  <si>
    <t>LCS=Lifter 電梯控制系統</t>
    <phoneticPr fontId="1" type="noConversion"/>
  </si>
  <si>
    <t>查詢目標電梯當前狀態</t>
    <phoneticPr fontId="1" type="noConversion"/>
  </si>
  <si>
    <t>"LV11"</t>
    <phoneticPr fontId="1" type="noConversion"/>
  </si>
  <si>
    <t>電梯編號</t>
    <phoneticPr fontId="1" type="noConversion"/>
  </si>
  <si>
    <t>目標電梯當前狀態回復</t>
    <phoneticPr fontId="1" type="noConversion"/>
  </si>
  <si>
    <t>動作禁止:"ON"、"OFF"</t>
    <phoneticPr fontId="1" type="noConversion"/>
  </si>
  <si>
    <t>關門指令:"ON"、"OFF"</t>
    <phoneticPr fontId="1" type="noConversion"/>
  </si>
  <si>
    <t>"OFF"</t>
    <phoneticPr fontId="1" type="noConversion"/>
  </si>
  <si>
    <t>lifterEMO</t>
    <phoneticPr fontId="1" type="noConversion"/>
  </si>
  <si>
    <t>doorOpenCmd</t>
    <phoneticPr fontId="1" type="noConversion"/>
  </si>
  <si>
    <t>doorCloseCmd</t>
    <phoneticPr fontId="1" type="noConversion"/>
  </si>
  <si>
    <t>火警訊號:"ON"、"OFF"</t>
    <phoneticPr fontId="1" type="noConversion"/>
  </si>
  <si>
    <r>
      <t xml:space="preserve">當前任務編號
如果是MCS下達下來的自動指令 : 
20200402172959123456
如果是MCS下達下來的手動指令 : 
OPI_20200402172959123456
</t>
    </r>
    <r>
      <rPr>
        <sz val="12"/>
        <color rgb="FFFF0000"/>
        <rFont val="微軟正黑體"/>
        <family val="2"/>
        <charset val="136"/>
      </rPr>
      <t>如果是電梯建立的半自動指令 : ""</t>
    </r>
    <phoneticPr fontId="1" type="noConversion"/>
  </si>
  <si>
    <t>電梯內載具編號</t>
    <phoneticPr fontId="1" type="noConversion"/>
  </si>
  <si>
    <t>lifterMsg</t>
    <phoneticPr fontId="1" type="noConversion"/>
  </si>
  <si>
    <t>""</t>
    <phoneticPr fontId="1" type="noConversion"/>
  </si>
  <si>
    <t>電梯看板訊息</t>
    <phoneticPr fontId="1" type="noConversion"/>
  </si>
  <si>
    <t>lifterLockSatus</t>
    <phoneticPr fontId="1" type="noConversion"/>
  </si>
  <si>
    <t>MCS Lock Command.
"LOCK":電梯鎖定中，
"UNLOCK":電梯未鎖定.</t>
    <phoneticPr fontId="1" type="noConversion"/>
  </si>
  <si>
    <t xml:space="preserve">是否有指令執行 "Y/N" </t>
    <phoneticPr fontId="1" type="noConversion"/>
  </si>
  <si>
    <t>AGVInerlock</t>
    <phoneticPr fontId="1" type="noConversion"/>
  </si>
  <si>
    <t>AGV准許出入料:"ON"、"OFF"</t>
    <phoneticPr fontId="1" type="noConversion"/>
  </si>
  <si>
    <t>requestMode</t>
    <phoneticPr fontId="1" type="noConversion"/>
  </si>
  <si>
    <t xml:space="preserve">MCS_lifterOperationChangeRequest(string jsonString)
</t>
    <phoneticPr fontId="1" type="noConversion"/>
  </si>
  <si>
    <t>MCS_lifterOperationChangeRequestReply(string jsonString)</t>
    <phoneticPr fontId="1" type="noConversion"/>
  </si>
  <si>
    <t>lifterOperationChangeRequest</t>
    <phoneticPr fontId="1" type="noConversion"/>
  </si>
  <si>
    <t>AUTO : 自動(AGV)、
MANUAL : 手動</t>
    <phoneticPr fontId="1" type="noConversion"/>
  </si>
  <si>
    <t>"AUTO"</t>
    <phoneticPr fontId="1" type="noConversion"/>
  </si>
  <si>
    <t>電梯運行模式切換要求回復</t>
    <phoneticPr fontId="1" type="noConversion"/>
  </si>
  <si>
    <t>Lifter 上報電梯運行模式更新狀態</t>
    <phoneticPr fontId="1" type="noConversion"/>
  </si>
  <si>
    <t>MCS_lifterOperationModeReport(string jsonString)</t>
    <phoneticPr fontId="1" type="noConversion"/>
  </si>
  <si>
    <t xml:space="preserve">MCS_lifterOperationModeReportReply(string jsonString)
</t>
    <phoneticPr fontId="1" type="noConversion"/>
  </si>
  <si>
    <t>Lifter 上報電梯運行模式更新狀態回覆</t>
    <phoneticPr fontId="1" type="noConversion"/>
  </si>
  <si>
    <t>lifterOperationModeReport</t>
    <phoneticPr fontId="1" type="noConversion"/>
  </si>
  <si>
    <t>解鎖電梯回復</t>
    <phoneticPr fontId="1" type="noConversion"/>
  </si>
  <si>
    <t>name_2</t>
    <phoneticPr fontId="1" type="noConversion"/>
  </si>
  <si>
    <t>鎖定電梯及開門回復</t>
    <phoneticPr fontId="1" type="noConversion"/>
  </si>
  <si>
    <t>電梯開門完成事件</t>
    <phoneticPr fontId="1" type="noConversion"/>
  </si>
  <si>
    <t>電梯開門完成Reply</t>
    <phoneticPr fontId="1" type="noConversion"/>
  </si>
  <si>
    <t>電梯狀態變更報告</t>
    <phoneticPr fontId="1" type="noConversion"/>
  </si>
  <si>
    <t>電梯狀態變更報告回覆</t>
    <phoneticPr fontId="1" type="noConversion"/>
  </si>
  <si>
    <t xml:space="preserve">MCS -&gt; LCS
</t>
    <phoneticPr fontId="1" type="noConversion"/>
  </si>
  <si>
    <t>LCS -&gt; MCS</t>
    <phoneticPr fontId="1" type="noConversion"/>
  </si>
  <si>
    <t>通知電梯AGV開始作業回覆</t>
    <phoneticPr fontId="1" type="noConversion"/>
  </si>
  <si>
    <t>進入的電梯編號</t>
    <phoneticPr fontId="1" type="noConversion"/>
  </si>
  <si>
    <t>通知電梯AGV開始進入作業。</t>
    <phoneticPr fontId="1" type="noConversion"/>
  </si>
  <si>
    <t>agvID</t>
    <phoneticPr fontId="1" type="noConversion"/>
  </si>
  <si>
    <t>進入的車輛編號</t>
    <phoneticPr fontId="1" type="noConversion"/>
  </si>
  <si>
    <t>通知電梯AGV已經離開回覆</t>
    <phoneticPr fontId="1" type="noConversion"/>
  </si>
  <si>
    <t>離開的車輛編號</t>
    <phoneticPr fontId="1" type="noConversion"/>
  </si>
  <si>
    <t>任務編號
如果是MCS下達下來的自動指令 : 
"20200402172959123456"
如果是MCS下達下來的手動指令 : 
"OPI_20200402172959123456"
ID Format : Date(yyyyMMddHHmmssfff)+rrr
where fff is 3 digits of milliseconds and rrr is 3 digits of random number.</t>
    <phoneticPr fontId="1" type="noConversion"/>
  </si>
  <si>
    <t>防火報警訊息事件回覆</t>
    <phoneticPr fontId="1" type="noConversion"/>
  </si>
  <si>
    <t>報警類型，[SET / RESET]</t>
    <phoneticPr fontId="1" type="noConversion"/>
  </si>
  <si>
    <t>上報防火報警訊息事件 (發生/解除時，皆上報一次)</t>
    <phoneticPr fontId="1" type="noConversion"/>
  </si>
  <si>
    <t>電梯當前樓層</t>
    <phoneticPr fontId="1" type="noConversion"/>
  </si>
  <si>
    <t>通知電梯，人員已準備手動搬運架裝入電梯回覆</t>
    <phoneticPr fontId="1" type="noConversion"/>
  </si>
  <si>
    <t>通知電梯，人員已準備手動搬運架裝出電梯</t>
    <phoneticPr fontId="1" type="noConversion"/>
  </si>
  <si>
    <t>通知電梯，人員已準備手動搬運架裝出電梯</t>
    <phoneticPr fontId="1" type="noConversion"/>
  </si>
  <si>
    <t>通知電梯，人員已準備手動搬運架裝出電梯Reply</t>
    <phoneticPr fontId="1" type="noConversion"/>
  </si>
  <si>
    <t>電梯上報線纜位置變更事件</t>
    <phoneticPr fontId="1" type="noConversion"/>
  </si>
  <si>
    <t>"LOAD"、"UNLOAD"</t>
    <phoneticPr fontId="1" type="noConversion"/>
  </si>
  <si>
    <t>"LOAD"</t>
    <phoneticPr fontId="1" type="noConversion"/>
  </si>
  <si>
    <t>準備搬出的電梯編號</t>
    <phoneticPr fontId="1" type="noConversion"/>
  </si>
  <si>
    <t>等待搬入的電梯編號</t>
    <phoneticPr fontId="1" type="noConversion"/>
  </si>
  <si>
    <t>事件的電梯編號</t>
    <phoneticPr fontId="1" type="noConversion"/>
  </si>
  <si>
    <t>LIFTER_PORT:lifter_port的JSON字串
字串“\“”作為雙引號用</t>
    <phoneticPr fontId="1" type="noConversion"/>
  </si>
  <si>
    <t>LIFTER: 載具位置類型</t>
    <phoneticPr fontId="1" type="noConversion"/>
  </si>
  <si>
    <t>LIFTER_PORT: {\"eqpID\":\"LIFT01\",\"portID\":\"L1001\"}</t>
    <phoneticPr fontId="1" type="noConversion"/>
  </si>
  <si>
    <t>任務編號
如果是MCS下達下來的自動指令 : 
20200402172959123456
如果是MCS下達下來的手動指令 : 
OPI_20200402172959123456</t>
    <phoneticPr fontId="1" type="noConversion"/>
  </si>
  <si>
    <t>LIFTER_PORT: {\"eqpID\":\"LIFT01\",\"portID\":\"EV011FDC01\"}</t>
    <phoneticPr fontId="1" type="noConversion"/>
  </si>
  <si>
    <t>LIFTER_PORT: {\"eqpID\":\"LIFT01\",\"portID\":\"EV013FDC01\"}</t>
    <phoneticPr fontId="1" type="noConversion"/>
  </si>
  <si>
    <t>任務編號</t>
    <phoneticPr fontId="1" type="noConversion"/>
  </si>
  <si>
    <t>當前任務編號
如果是MCS下達下來的自動指令 : 
20200402172959123456
如果是MCS下達下來的手動指令 : 
OPI_20200402172959123456</t>
    <phoneticPr fontId="1" type="noConversion"/>
  </si>
  <si>
    <t>電梯任務狀態:
"START":AGV 啟動任務.
"END": AGV 完成任務OK
"ABOT":任務已執行取得載具但是出現錯誤.
"CAEN":任務已執行尚未取得載具但是出現錯誤.
"SUSPEND":任務暫時停止.
"CONTINUE":任務取消暫止，繼續執行.</t>
    <phoneticPr fontId="1" type="noConversion"/>
  </si>
  <si>
    <t>電梯上報取消自動任務</t>
    <phoneticPr fontId="1" type="noConversion"/>
  </si>
  <si>
    <t>MCS取消任務</t>
    <phoneticPr fontId="1" type="noConversion"/>
  </si>
  <si>
    <t>LIFTER取消任務</t>
    <phoneticPr fontId="1" type="noConversion"/>
  </si>
  <si>
    <t>LIFTER 取消任務執行</t>
    <phoneticPr fontId="1" type="noConversion"/>
  </si>
  <si>
    <t>LIFTER取消執行任務回覆</t>
    <phoneticPr fontId="1" type="noConversion"/>
  </si>
  <si>
    <t>通知LIFTER任務取消回覆</t>
    <phoneticPr fontId="1" type="noConversion"/>
  </si>
  <si>
    <t xml:space="preserve">MCS_lifterInfoUploadReply(string jsonString)
</t>
    <phoneticPr fontId="1" type="noConversion"/>
  </si>
  <si>
    <t>MCS_carrierMoveCancelByMCS(string jsonString)</t>
    <phoneticPr fontId="1" type="noConversion"/>
  </si>
  <si>
    <t xml:space="preserve">MCS_carrierMoveCancelByMCSReply(string jsonString)
</t>
    <phoneticPr fontId="1" type="noConversion"/>
  </si>
  <si>
    <t>所有電梯狀態循環更新要求回覆</t>
    <phoneticPr fontId="1" type="noConversion"/>
  </si>
  <si>
    <t>電梯狀態更新</t>
    <phoneticPr fontId="1" type="noConversion"/>
  </si>
  <si>
    <t>電梯狀態更新回覆</t>
    <phoneticPr fontId="1" type="noConversion"/>
  </si>
  <si>
    <t>uploadInterval</t>
    <phoneticPr fontId="1" type="noConversion"/>
  </si>
  <si>
    <t>2023/12/14</t>
    <phoneticPr fontId="1" type="noConversion"/>
  </si>
  <si>
    <t>鎖定電梯及開門 ( AGV 或叉車即將進入前鎖定，電梯需等待MCS自動或TimeOut 解鎖後，才能進行其它操作，防止勿操作。)</t>
    <phoneticPr fontId="1" type="noConversion"/>
  </si>
  <si>
    <t>解鎖電梯(1.下命令前MCS 先解鎖電梯 2.OperationMode改為手動時。)</t>
    <phoneticPr fontId="1" type="noConversion"/>
  </si>
  <si>
    <t>電梯狀態變更報告 (樓層、方向、任務….等狀態有更動時)</t>
    <phoneticPr fontId="1" type="noConversion"/>
  </si>
  <si>
    <t>"LIFT01"</t>
    <phoneticPr fontId="1" type="noConversion"/>
  </si>
  <si>
    <t>電梯編號(toolID)</t>
    <phoneticPr fontId="1" type="noConversion"/>
  </si>
  <si>
    <t>"AGV01"</t>
    <phoneticPr fontId="1" type="noConversion"/>
  </si>
  <si>
    <t>"D0800001"</t>
    <phoneticPr fontId="1" type="noConversion"/>
  </si>
  <si>
    <t>carrierSide</t>
    <phoneticPr fontId="1" type="noConversion"/>
  </si>
  <si>
    <t>"A"、"B" 載具當前面向</t>
    <phoneticPr fontId="1" type="noConversion"/>
  </si>
  <si>
    <t>materialCode</t>
    <phoneticPr fontId="1" type="noConversion"/>
  </si>
  <si>
    <r>
      <t>MES 物料資訊</t>
    </r>
    <r>
      <rPr>
        <sz val="12"/>
        <color rgb="FFFF0000"/>
        <rFont val="微軟正黑體"/>
        <family val="2"/>
        <charset val="136"/>
      </rPr>
      <t xml:space="preserve"> (不同料號需分區儲放)</t>
    </r>
    <phoneticPr fontId="1" type="noConversion"/>
  </si>
  <si>
    <t>OK:                正常結束
UNDEFINE         未定義的錯誤
TIMEOUT              命令超過時限仍未結束，強制終止
CANCEL_BY_MCS  命令被MCS取消</t>
    <phoneticPr fontId="1" type="noConversion"/>
  </si>
  <si>
    <t>MCS_lifterInfoUploadRequest(string jsonString)</t>
    <phoneticPr fontId="1" type="noConversion"/>
  </si>
  <si>
    <t xml:space="preserve">MCS_lifterInfoUploadRequestReply(string jsonString)
</t>
    <phoneticPr fontId="1" type="noConversion"/>
  </si>
  <si>
    <t>lifterInfoUploadRequest</t>
    <phoneticPr fontId="1" type="noConversion"/>
  </si>
  <si>
    <t>"LIFT01"</t>
    <phoneticPr fontId="1" type="noConversion"/>
  </si>
  <si>
    <t xml:space="preserve">Lifter.Control </t>
    <phoneticPr fontId="1" type="noConversion"/>
  </si>
  <si>
    <t xml:space="preserve">MCS.Lifter.Control  </t>
    <phoneticPr fontId="1" type="noConversion"/>
  </si>
  <si>
    <t>Lifter.Report</t>
    <phoneticPr fontId="42" type="noConversion"/>
  </si>
  <si>
    <t>MCS.Lifter.Response</t>
    <phoneticPr fontId="1" type="noConversion"/>
  </si>
  <si>
    <t>MCS.Lifter.Request</t>
    <phoneticPr fontId="42" type="noConversion"/>
  </si>
  <si>
    <t>Lifter.Response</t>
    <phoneticPr fontId="1" type="noConversion"/>
  </si>
  <si>
    <t>MCS.Lifter.Dispatch</t>
    <phoneticPr fontId="1" type="noConversion"/>
  </si>
  <si>
    <t>Lifter.Dispatch</t>
    <phoneticPr fontId="1" type="noConversion"/>
  </si>
  <si>
    <t>Lifter.Task</t>
    <phoneticPr fontId="1" type="noConversion"/>
  </si>
  <si>
    <t>MCS.Lifter.Task</t>
    <phoneticPr fontId="1" type="noConversion"/>
  </si>
  <si>
    <t>1.0.1</t>
    <phoneticPr fontId="1" type="noConversion"/>
  </si>
  <si>
    <t>CT</t>
    <phoneticPr fontId="1" type="noConversion"/>
  </si>
  <si>
    <t>2024/01/16</t>
    <phoneticPr fontId="1" type="noConversion"/>
  </si>
  <si>
    <t>Lifter</t>
    <phoneticPr fontId="1" type="noConversion"/>
  </si>
  <si>
    <t>電梯編號 若為空白，表示查詢所有電梯</t>
    <phoneticPr fontId="1" type="noConversion"/>
  </si>
  <si>
    <t>array</t>
    <phoneticPr fontId="1" type="noConversion"/>
  </si>
  <si>
    <t>MCS_cancelTaskReport(string jsonString)</t>
    <phoneticPr fontId="1" type="noConversion"/>
  </si>
  <si>
    <t xml:space="preserve">MCS_cancelTaskReportReply(string jsonString)
</t>
    <phoneticPr fontId="1" type="noConversion"/>
  </si>
  <si>
    <t>Transaction ID</t>
  </si>
  <si>
    <t>Description</t>
    <phoneticPr fontId="1" type="noConversion"/>
  </si>
  <si>
    <t>{
    "transaction": {
        "header": {
            "transactionID": "AlarmReport",
            "transactionKey": "20200402172959123456"
        },
        "body": {
            "…\transaction data contents"
        },
        "return": {
            "result": "OK",
            "rtnCode": "000000",
            "rtnMsg": "XXXXXX"
        }
    }
}</t>
    <phoneticPr fontId="1" type="noConversion"/>
  </si>
  <si>
    <t>TransactionKey
定義</t>
  </si>
  <si>
    <t>1.Request and Report message must create new TransactionKey string.
2.Reply message must copy Transaction_key from Request and Report message.
3.Key Format : Date(yyyyMMddHHmmssfff)+rrr   
                  where fff is 3 digits of milliseconds and  rrr is 3 digits of random number 
                   e.g. "20200402172959123456"</t>
  </si>
  <si>
    <t>1.變更Message Routing Key &amp; Queue Name
2.變更queryLifterInfo 為可回應多筆架構
3.修正 Json 範例 alarmReportReply、carrierReportEvent
4.修正 Json 範歷 、Message Format Define 內 taransition 改為transaction.</t>
    <phoneticPr fontId="1" type="noConversion"/>
  </si>
  <si>
    <t>1.0.2</t>
    <phoneticPr fontId="1" type="noConversion"/>
  </si>
  <si>
    <t>CT</t>
    <phoneticPr fontId="1" type="noConversion"/>
  </si>
  <si>
    <t>2024/01/24</t>
    <phoneticPr fontId="1" type="noConversion"/>
  </si>
  <si>
    <t>userID</t>
  </si>
  <si>
    <t>varchar(20)</t>
  </si>
  <si>
    <t>"LIFT"</t>
    <phoneticPr fontId="1" type="noConversion"/>
  </si>
  <si>
    <t>命令下達者，手動下達時為使用者代碼，自動下達時固定為"LIFT"</t>
    <phoneticPr fontId="1" type="noConversion"/>
  </si>
  <si>
    <t>"MCS"</t>
  </si>
  <si>
    <t>命令下達者，手動下達時為使用者代碼，自動下達時固定為DCS或MCS</t>
  </si>
  <si>
    <r>
      <t>1.</t>
    </r>
    <r>
      <rPr>
        <sz val="10"/>
        <rFont val="微軟正黑體"/>
        <family val="2"/>
        <charset val="136"/>
      </rPr>
      <t xml:space="preserve">修正 Json 範例 </t>
    </r>
    <r>
      <rPr>
        <sz val="10"/>
        <rFont val="Arial"/>
        <family val="2"/>
      </rPr>
      <t>lifterStatusReport</t>
    </r>
    <r>
      <rPr>
        <sz val="10"/>
        <rFont val="微軟正黑體"/>
        <family val="2"/>
        <charset val="136"/>
      </rPr>
      <t>、</t>
    </r>
    <r>
      <rPr>
        <sz val="10"/>
        <rFont val="Arial"/>
        <family val="2"/>
      </rPr>
      <t>queryLifterInfo
2.</t>
    </r>
    <r>
      <rPr>
        <sz val="10"/>
        <rFont val="微軟正黑體"/>
        <family val="2"/>
        <charset val="136"/>
      </rPr>
      <t>修正Rabbit MQ功能名稱 lifterInfoRequest =&gt;lifterInfoUploadRequest
3.修改</t>
    </r>
    <r>
      <rPr>
        <sz val="10"/>
        <rFont val="Futura Bk"/>
        <family val="2"/>
      </rPr>
      <t>carrierMoveCancelByMCS</t>
    </r>
    <r>
      <rPr>
        <sz val="10"/>
        <rFont val="微軟正黑體"/>
        <family val="2"/>
        <charset val="136"/>
      </rPr>
      <t>、</t>
    </r>
    <r>
      <rPr>
        <sz val="10"/>
        <rFont val="Arial"/>
        <family val="2"/>
      </rPr>
      <t>cancelTaskReport</t>
    </r>
    <r>
      <rPr>
        <sz val="10"/>
        <rFont val="Futura Bk"/>
        <family val="2"/>
      </rPr>
      <t xml:space="preserve"> 新增UserID</t>
    </r>
    <phoneticPr fontId="1" type="noConversion"/>
  </si>
  <si>
    <t xml:space="preserve">MCS_lifterUnlockRequest(string jsonString)
</t>
    <phoneticPr fontId="1" type="noConversion"/>
  </si>
  <si>
    <t>MCS_lifterUnlockRequestReply(string jsonString)</t>
    <phoneticPr fontId="1" type="noConversion"/>
  </si>
  <si>
    <t>MCS_lifterInfoUpload(string jsonString)</t>
    <phoneticPr fontId="1" type="noConversion"/>
  </si>
  <si>
    <t>1.0.3</t>
    <phoneticPr fontId="1" type="noConversion"/>
  </si>
  <si>
    <t>20240221</t>
    <phoneticPr fontId="1" type="noConversion"/>
  </si>
  <si>
    <t>2024/02/21</t>
    <phoneticPr fontId="1" type="noConversion"/>
  </si>
  <si>
    <r>
      <rPr>
        <sz val="10"/>
        <rFont val="微軟正黑體"/>
        <family val="2"/>
        <charset val="136"/>
      </rPr>
      <t>1.修正</t>
    </r>
    <r>
      <rPr>
        <sz val="10"/>
        <rFont val="Arial"/>
        <family val="2"/>
      </rPr>
      <t xml:space="preserve"> Json </t>
    </r>
    <r>
      <rPr>
        <sz val="10"/>
        <rFont val="微軟正黑體"/>
        <family val="2"/>
        <charset val="136"/>
      </rPr>
      <t>範例</t>
    </r>
    <r>
      <rPr>
        <sz val="10"/>
        <rFont val="Arial"/>
        <family val="2"/>
      </rPr>
      <t xml:space="preserve"> "transactionID": "MCS_xXXXX" </t>
    </r>
    <r>
      <rPr>
        <sz val="10"/>
        <rFont val="微軟正黑體"/>
        <family val="2"/>
        <charset val="136"/>
      </rPr>
      <t>，</t>
    </r>
    <r>
      <rPr>
        <sz val="10"/>
        <rFont val="Arial"/>
        <family val="2"/>
      </rPr>
      <t>MCS_</t>
    </r>
    <r>
      <rPr>
        <sz val="10"/>
        <rFont val="微軟正黑體"/>
        <family val="2"/>
        <charset val="136"/>
      </rPr>
      <t>後首字小寫</t>
    </r>
    <r>
      <rPr>
        <sz val="10"/>
        <rFont val="Arial"/>
        <family val="2"/>
      </rPr>
      <t>.</t>
    </r>
    <phoneticPr fontId="1" type="noConversion"/>
  </si>
  <si>
    <r>
      <t>MCS_</t>
    </r>
    <r>
      <rPr>
        <sz val="12"/>
        <color rgb="FFFF0000"/>
        <rFont val="微軟正黑體"/>
        <family val="2"/>
        <charset val="136"/>
      </rPr>
      <t>r</t>
    </r>
    <r>
      <rPr>
        <sz val="12"/>
        <color theme="1"/>
        <rFont val="微軟正黑體"/>
        <family val="2"/>
        <charset val="136"/>
      </rPr>
      <t xml:space="preserve">eportAlive(string jsonString)
</t>
    </r>
    <phoneticPr fontId="1" type="noConversion"/>
  </si>
  <si>
    <r>
      <t>MCS</t>
    </r>
    <r>
      <rPr>
        <sz val="12"/>
        <color rgb="FFFF0000"/>
        <rFont val="微軟正黑體"/>
        <family val="2"/>
        <charset val="136"/>
      </rPr>
      <t>_r</t>
    </r>
    <r>
      <rPr>
        <sz val="12"/>
        <color theme="1"/>
        <rFont val="微軟正黑體"/>
        <family val="2"/>
        <charset val="136"/>
      </rPr>
      <t>eportAliveReply(string jsonString)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</si>
</sst>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0.0"/>
    <numFmt numFmtId="177" formatCode="[$-409]d\-mmm\-yy;@"/>
  </numFmts>
  <fonts count="4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u/>
      <sz val="10.199999999999999"/>
      <color theme="10"/>
      <name val="新細明體"/>
      <family val="1"/>
      <charset val="136"/>
    </font>
    <font>
      <sz val="10"/>
      <name val="Arial"/>
      <family val="2"/>
    </font>
    <font>
      <sz val="10"/>
      <name val="Futura Bk"/>
      <family val="2"/>
    </font>
    <font>
      <b/>
      <sz val="10"/>
      <name val="Arial"/>
      <family val="2"/>
    </font>
    <font>
      <b/>
      <sz val="14"/>
      <name val="Futura Bk"/>
      <family val="2"/>
    </font>
    <font>
      <b/>
      <sz val="14"/>
      <name val="Arial"/>
      <family val="2"/>
    </font>
    <font>
      <sz val="20"/>
      <name val="HP Logo LG"/>
      <charset val="2"/>
    </font>
    <font>
      <b/>
      <sz val="12"/>
      <name val="Futura Bk"/>
      <family val="2"/>
    </font>
    <font>
      <sz val="8"/>
      <name val="Arial"/>
      <family val="2"/>
    </font>
    <font>
      <b/>
      <sz val="8"/>
      <name val="Futura Bk"/>
      <family val="2"/>
    </font>
    <font>
      <b/>
      <sz val="9"/>
      <name val="Futura Bk"/>
      <family val="2"/>
    </font>
    <font>
      <b/>
      <sz val="10"/>
      <name val="Futura Bk"/>
      <family val="2"/>
    </font>
    <font>
      <sz val="12"/>
      <color rgb="FF000000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b/>
      <sz val="12"/>
      <color theme="1"/>
      <name val="微軟正黑體"/>
      <family val="2"/>
      <charset val="136"/>
    </font>
    <font>
      <sz val="12"/>
      <color theme="1"/>
      <name val="Calibri"/>
      <family val="2"/>
    </font>
    <font>
      <sz val="12"/>
      <color theme="9" tint="-0.249977111117893"/>
      <name val="Calibri"/>
      <family val="2"/>
    </font>
    <font>
      <sz val="12"/>
      <color theme="1"/>
      <name val="細明體"/>
      <family val="3"/>
      <charset val="136"/>
    </font>
    <font>
      <b/>
      <sz val="12"/>
      <color rgb="FF0070C0"/>
      <name val="細明體"/>
      <family val="3"/>
      <charset val="136"/>
    </font>
    <font>
      <b/>
      <sz val="12"/>
      <color rgb="FF0070C0"/>
      <name val="Calibri"/>
      <family val="2"/>
    </font>
    <font>
      <sz val="12"/>
      <color theme="1"/>
      <name val="新細明體"/>
      <family val="1"/>
      <charset val="136"/>
    </font>
    <font>
      <sz val="12"/>
      <color rgb="FFFF0000"/>
      <name val="細明體"/>
      <family val="3"/>
      <charset val="136"/>
    </font>
    <font>
      <sz val="10"/>
      <color theme="1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0"/>
      <color theme="1"/>
      <name val="Arial"/>
      <family val="2"/>
      <charset val="136"/>
    </font>
    <font>
      <b/>
      <sz val="12"/>
      <color rgb="FF000000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u/>
      <sz val="11"/>
      <color theme="1"/>
      <name val="微軟正黑體"/>
      <family val="2"/>
      <charset val="136"/>
    </font>
    <font>
      <sz val="10"/>
      <name val="微軟正黑體"/>
      <family val="2"/>
      <charset val="136"/>
    </font>
    <font>
      <b/>
      <sz val="12"/>
      <color rgb="FFFF0000"/>
      <name val="Calibri"/>
      <family val="3"/>
    </font>
    <font>
      <b/>
      <sz val="12"/>
      <name val="細明體"/>
      <family val="3"/>
      <charset val="136"/>
    </font>
    <font>
      <b/>
      <sz val="12"/>
      <color rgb="FFFF0000"/>
      <name val="Calibri"/>
      <family val="2"/>
    </font>
    <font>
      <b/>
      <sz val="12"/>
      <color rgb="FFFF0000"/>
      <name val="細明體"/>
      <family val="3"/>
      <charset val="136"/>
    </font>
    <font>
      <b/>
      <sz val="12"/>
      <color rgb="FFFF0000"/>
      <name val="微軟正黑體"/>
      <family val="3"/>
      <charset val="136"/>
    </font>
    <font>
      <u/>
      <sz val="12"/>
      <name val="細明體"/>
      <family val="3"/>
      <charset val="136"/>
    </font>
    <font>
      <sz val="12"/>
      <color rgb="FFFF0000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1"/>
      <charset val="136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新細明體"/>
      <family val="1"/>
      <charset val="136"/>
    </font>
    <font>
      <u/>
      <sz val="12"/>
      <color theme="10"/>
      <name val="新細明體"/>
      <family val="1"/>
      <charset val="136"/>
    </font>
    <font>
      <sz val="10"/>
      <name val="Futura Bk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99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6" fillId="0" borderId="9" applyFill="0" applyBorder="0"/>
    <xf numFmtId="0" fontId="8" fillId="0" borderId="9" applyBorder="0">
      <alignment horizontal="center" vertical="center"/>
    </xf>
    <xf numFmtId="0" fontId="4" fillId="0" borderId="0" applyFill="0" applyBorder="0">
      <alignment vertical="center"/>
    </xf>
    <xf numFmtId="0" fontId="9" fillId="0" borderId="9" applyBorder="0">
      <alignment horizontal="center" vertical="center"/>
    </xf>
    <xf numFmtId="0" fontId="11" fillId="0" borderId="9" applyBorder="0">
      <alignment horizontal="center" vertical="center"/>
    </xf>
    <xf numFmtId="43" fontId="4" fillId="0" borderId="0" applyFont="0" applyFill="0" applyBorder="0" applyAlignment="0" applyProtection="0"/>
    <xf numFmtId="0" fontId="16" fillId="0" borderId="0">
      <alignment vertical="center"/>
    </xf>
    <xf numFmtId="0" fontId="45" fillId="0" borderId="0">
      <alignment vertical="center"/>
    </xf>
    <xf numFmtId="0" fontId="46" fillId="0" borderId="0" applyNumberFormat="0" applyFill="0" applyBorder="0" applyAlignment="0" applyProtection="0">
      <alignment vertical="center"/>
    </xf>
  </cellStyleXfs>
  <cellXfs count="255">
    <xf numFmtId="0" fontId="0" fillId="0" borderId="0" xfId="0">
      <alignment vertical="center"/>
    </xf>
    <xf numFmtId="0" fontId="2" fillId="2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top"/>
    </xf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2" fillId="0" borderId="0" xfId="0" applyFont="1">
      <alignment vertical="center"/>
    </xf>
    <xf numFmtId="0" fontId="5" fillId="0" borderId="0" xfId="2" applyFont="1"/>
    <xf numFmtId="0" fontId="5" fillId="0" borderId="7" xfId="2" applyFont="1" applyBorder="1"/>
    <xf numFmtId="0" fontId="13" fillId="0" borderId="1" xfId="2" applyFont="1" applyBorder="1" applyAlignment="1">
      <alignment horizontal="right"/>
    </xf>
    <xf numFmtId="0" fontId="5" fillId="0" borderId="0" xfId="2" applyFont="1" applyBorder="1"/>
    <xf numFmtId="15" fontId="5" fillId="0" borderId="0" xfId="2" applyNumberFormat="1" applyFont="1" applyBorder="1" applyAlignment="1">
      <alignment horizontal="left"/>
    </xf>
    <xf numFmtId="0" fontId="5" fillId="0" borderId="0" xfId="2" applyFont="1" applyAlignment="1">
      <alignment horizontal="left"/>
    </xf>
    <xf numFmtId="0" fontId="7" fillId="0" borderId="0" xfId="2" applyFont="1"/>
    <xf numFmtId="0" fontId="14" fillId="0" borderId="0" xfId="2" applyFont="1"/>
    <xf numFmtId="0" fontId="10" fillId="0" borderId="0" xfId="5" applyFont="1" applyBorder="1" applyAlignment="1">
      <alignment horizontal="left" wrapText="1"/>
    </xf>
    <xf numFmtId="0" fontId="12" fillId="0" borderId="0" xfId="7" applyFont="1" applyBorder="1" applyAlignment="1">
      <alignment horizontal="right" vertical="top"/>
    </xf>
    <xf numFmtId="0" fontId="12" fillId="0" borderId="0" xfId="7" applyNumberFormat="1" applyFont="1" applyBorder="1" applyAlignment="1">
      <alignment horizontal="left" vertical="top"/>
    </xf>
    <xf numFmtId="0" fontId="5" fillId="0" borderId="0" xfId="5" applyFont="1" applyBorder="1" applyAlignment="1">
      <alignment horizontal="right" wrapText="1"/>
    </xf>
    <xf numFmtId="0" fontId="7" fillId="0" borderId="7" xfId="2" applyFont="1" applyBorder="1"/>
    <xf numFmtId="0" fontId="5" fillId="0" borderId="7" xfId="2" applyFont="1" applyBorder="1" applyAlignment="1">
      <alignment horizontal="left"/>
    </xf>
    <xf numFmtId="0" fontId="13" fillId="2" borderId="1" xfId="2" applyFont="1" applyFill="1" applyBorder="1" applyAlignment="1">
      <alignment horizontal="center"/>
    </xf>
    <xf numFmtId="0" fontId="13" fillId="2" borderId="1" xfId="2" applyFont="1" applyFill="1" applyBorder="1" applyAlignment="1">
      <alignment horizontal="center" wrapText="1"/>
    </xf>
    <xf numFmtId="176" fontId="5" fillId="0" borderId="1" xfId="8" applyNumberFormat="1" applyFont="1" applyBorder="1" applyAlignment="1">
      <alignment horizontal="center" vertical="center"/>
    </xf>
    <xf numFmtId="177" fontId="5" fillId="0" borderId="1" xfId="8" applyNumberFormat="1" applyFont="1" applyBorder="1" applyAlignment="1">
      <alignment horizontal="center" vertical="center" wrapText="1"/>
    </xf>
    <xf numFmtId="0" fontId="5" fillId="0" borderId="1" xfId="2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0" fillId="0" borderId="0" xfId="0" applyFill="1">
      <alignment vertical="center"/>
    </xf>
    <xf numFmtId="0" fontId="15" fillId="0" borderId="5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15" fillId="0" borderId="17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left" vertical="top" wrapText="1"/>
    </xf>
    <xf numFmtId="0" fontId="15" fillId="0" borderId="19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5" fillId="0" borderId="18" xfId="0" applyFont="1" applyBorder="1" applyAlignment="1">
      <alignment horizontal="left" vertical="top" wrapText="1"/>
    </xf>
    <xf numFmtId="0" fontId="15" fillId="3" borderId="1" xfId="0" applyFont="1" applyFill="1" applyBorder="1" applyAlignment="1">
      <alignment horizontal="left" vertical="top" wrapText="1"/>
    </xf>
    <xf numFmtId="0" fontId="15" fillId="3" borderId="5" xfId="0" applyFont="1" applyFill="1" applyBorder="1" applyAlignment="1">
      <alignment horizontal="left" vertical="top" wrapText="1"/>
    </xf>
    <xf numFmtId="0" fontId="15" fillId="3" borderId="19" xfId="0" applyFont="1" applyFill="1" applyBorder="1" applyAlignment="1">
      <alignment horizontal="left" vertical="top" wrapText="1"/>
    </xf>
    <xf numFmtId="176" fontId="5" fillId="3" borderId="1" xfId="8" applyNumberFormat="1" applyFont="1" applyFill="1" applyBorder="1" applyAlignment="1">
      <alignment horizontal="center" vertical="center"/>
    </xf>
    <xf numFmtId="177" fontId="5" fillId="3" borderId="1" xfId="8" quotePrefix="1" applyNumberFormat="1" applyFont="1" applyFill="1" applyBorder="1" applyAlignment="1">
      <alignment horizontal="center" vertical="center" wrapText="1"/>
    </xf>
    <xf numFmtId="0" fontId="5" fillId="3" borderId="1" xfId="2" applyNumberFormat="1" applyFont="1" applyFill="1" applyBorder="1" applyAlignment="1">
      <alignment horizontal="center" vertical="center"/>
    </xf>
    <xf numFmtId="0" fontId="17" fillId="4" borderId="1" xfId="0" applyFont="1" applyFill="1" applyBorder="1">
      <alignment vertical="center"/>
    </xf>
    <xf numFmtId="0" fontId="17" fillId="0" borderId="1" xfId="0" applyFont="1" applyBorder="1">
      <alignment vertical="center"/>
    </xf>
    <xf numFmtId="0" fontId="17" fillId="0" borderId="0" xfId="0" applyFont="1">
      <alignment vertical="center"/>
    </xf>
    <xf numFmtId="14" fontId="17" fillId="0" borderId="1" xfId="0" applyNumberFormat="1" applyFont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top"/>
    </xf>
    <xf numFmtId="177" fontId="5" fillId="3" borderId="1" xfId="8" applyNumberFormat="1" applyFont="1" applyFill="1" applyBorder="1" applyAlignment="1">
      <alignment horizontal="center" vertical="center" wrapText="1"/>
    </xf>
    <xf numFmtId="0" fontId="5" fillId="3" borderId="1" xfId="2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top" wrapText="1"/>
    </xf>
    <xf numFmtId="0" fontId="2" fillId="0" borderId="0" xfId="0" applyFont="1" applyBorder="1">
      <alignment vertical="center"/>
    </xf>
    <xf numFmtId="0" fontId="2" fillId="0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top" wrapText="1"/>
    </xf>
    <xf numFmtId="49" fontId="15" fillId="3" borderId="1" xfId="0" applyNumberFormat="1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19" fillId="5" borderId="0" xfId="0" applyFont="1" applyFill="1">
      <alignment vertical="center"/>
    </xf>
    <xf numFmtId="0" fontId="20" fillId="5" borderId="0" xfId="0" applyFont="1" applyFill="1">
      <alignment vertical="center"/>
    </xf>
    <xf numFmtId="0" fontId="21" fillId="5" borderId="0" xfId="0" applyFont="1" applyFill="1">
      <alignment vertical="center"/>
    </xf>
    <xf numFmtId="0" fontId="22" fillId="5" borderId="1" xfId="0" applyFont="1" applyFill="1" applyBorder="1" applyAlignment="1">
      <alignment horizontal="center" vertical="center"/>
    </xf>
    <xf numFmtId="0" fontId="19" fillId="5" borderId="0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4" fillId="0" borderId="1" xfId="0" applyFont="1" applyFill="1" applyBorder="1">
      <alignment vertical="center"/>
    </xf>
    <xf numFmtId="0" fontId="24" fillId="0" borderId="1" xfId="0" applyFont="1" applyFill="1" applyBorder="1" applyAlignment="1">
      <alignment vertical="center" wrapText="1"/>
    </xf>
    <xf numFmtId="0" fontId="24" fillId="0" borderId="0" xfId="0" applyFont="1" applyFill="1">
      <alignment vertical="center"/>
    </xf>
    <xf numFmtId="0" fontId="17" fillId="4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vertical="center" wrapText="1"/>
    </xf>
    <xf numFmtId="0" fontId="2" fillId="0" borderId="2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22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0" xfId="0" applyFont="1" applyFill="1" applyBorder="1">
      <alignment vertical="center"/>
    </xf>
    <xf numFmtId="0" fontId="2" fillId="6" borderId="2" xfId="0" applyFont="1" applyFill="1" applyBorder="1">
      <alignment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>
      <alignment vertical="center"/>
    </xf>
    <xf numFmtId="0" fontId="2" fillId="6" borderId="23" xfId="0" applyFont="1" applyFill="1" applyBorder="1">
      <alignment vertical="center"/>
    </xf>
    <xf numFmtId="0" fontId="18" fillId="3" borderId="24" xfId="0" applyFont="1" applyFill="1" applyBorder="1" applyAlignment="1">
      <alignment horizontal="center" vertical="center" wrapText="1"/>
    </xf>
    <xf numFmtId="0" fontId="25" fillId="5" borderId="0" xfId="0" applyFont="1" applyFill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vertical="center"/>
    </xf>
    <xf numFmtId="0" fontId="26" fillId="0" borderId="1" xfId="0" applyFont="1" applyFill="1" applyBorder="1">
      <alignment vertical="center"/>
    </xf>
    <xf numFmtId="0" fontId="26" fillId="0" borderId="1" xfId="0" applyFont="1" applyFill="1" applyBorder="1" applyAlignment="1">
      <alignment vertical="center" wrapText="1"/>
    </xf>
    <xf numFmtId="0" fontId="15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/>
    </xf>
    <xf numFmtId="0" fontId="15" fillId="0" borderId="0" xfId="0" applyFont="1" applyBorder="1" applyAlignment="1">
      <alignment vertical="center" wrapText="1"/>
    </xf>
    <xf numFmtId="0" fontId="2" fillId="7" borderId="2" xfId="0" applyFont="1" applyFill="1" applyBorder="1" applyAlignment="1">
      <alignment horizontal="left" vertical="center"/>
    </xf>
    <xf numFmtId="0" fontId="2" fillId="7" borderId="21" xfId="0" applyFont="1" applyFill="1" applyBorder="1" applyAlignment="1">
      <alignment horizontal="left" vertical="center"/>
    </xf>
    <xf numFmtId="0" fontId="2" fillId="7" borderId="22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3" fillId="0" borderId="0" xfId="1" applyFill="1" applyAlignment="1" applyProtection="1">
      <alignment horizontal="left" vertical="top"/>
    </xf>
    <xf numFmtId="0" fontId="29" fillId="0" borderId="3" xfId="0" applyFont="1" applyBorder="1" applyAlignment="1">
      <alignment horizontal="left" vertical="top" wrapText="1"/>
    </xf>
    <xf numFmtId="0" fontId="27" fillId="0" borderId="1" xfId="0" applyFont="1" applyBorder="1">
      <alignment vertical="center"/>
    </xf>
    <xf numFmtId="0" fontId="26" fillId="0" borderId="1" xfId="0" applyFont="1" applyBorder="1">
      <alignment vertical="center"/>
    </xf>
    <xf numFmtId="0" fontId="15" fillId="0" borderId="25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top" wrapText="1"/>
    </xf>
    <xf numFmtId="0" fontId="15" fillId="0" borderId="5" xfId="0" applyFont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>
      <alignment vertical="center"/>
    </xf>
    <xf numFmtId="0" fontId="15" fillId="0" borderId="1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5" fillId="0" borderId="27" xfId="0" applyFont="1" applyBorder="1" applyAlignment="1">
      <alignment horizontal="left" vertical="top" wrapText="1"/>
    </xf>
    <xf numFmtId="0" fontId="15" fillId="0" borderId="27" xfId="0" applyFont="1" applyFill="1" applyBorder="1" applyAlignment="1">
      <alignment horizontal="left" vertical="top" wrapText="1"/>
    </xf>
    <xf numFmtId="0" fontId="15" fillId="0" borderId="28" xfId="0" applyFont="1" applyBorder="1" applyAlignment="1">
      <alignment horizontal="left" vertical="top" wrapText="1"/>
    </xf>
    <xf numFmtId="0" fontId="2" fillId="0" borderId="27" xfId="0" applyFont="1" applyFill="1" applyBorder="1">
      <alignment vertical="center"/>
    </xf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6" fillId="0" borderId="33" xfId="0" applyFont="1" applyBorder="1" applyAlignment="1">
      <alignment horizontal="center" vertical="center" wrapText="1"/>
    </xf>
    <xf numFmtId="0" fontId="26" fillId="0" borderId="34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31" fillId="0" borderId="0" xfId="0" applyFont="1">
      <alignment vertical="center"/>
    </xf>
    <xf numFmtId="0" fontId="2" fillId="0" borderId="27" xfId="0" applyFont="1" applyFill="1" applyBorder="1" applyAlignment="1">
      <alignment horizontal="center" vertical="center" wrapText="1"/>
    </xf>
    <xf numFmtId="0" fontId="15" fillId="0" borderId="27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27" fillId="0" borderId="1" xfId="0" applyFont="1" applyFill="1" applyBorder="1">
      <alignment vertical="center"/>
    </xf>
    <xf numFmtId="0" fontId="2" fillId="6" borderId="36" xfId="0" applyFont="1" applyFill="1" applyBorder="1">
      <alignment vertical="center"/>
    </xf>
    <xf numFmtId="0" fontId="2" fillId="6" borderId="37" xfId="0" applyFont="1" applyFill="1" applyBorder="1">
      <alignment vertical="center"/>
    </xf>
    <xf numFmtId="0" fontId="2" fillId="6" borderId="38" xfId="0" applyFont="1" applyFill="1" applyBorder="1">
      <alignment vertical="center"/>
    </xf>
    <xf numFmtId="0" fontId="2" fillId="6" borderId="39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top" wrapText="1"/>
    </xf>
    <xf numFmtId="0" fontId="33" fillId="5" borderId="1" xfId="0" applyFont="1" applyFill="1" applyBorder="1" applyAlignment="1">
      <alignment horizontal="center" vertical="center"/>
    </xf>
    <xf numFmtId="0" fontId="35" fillId="5" borderId="1" xfId="0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/>
    </xf>
    <xf numFmtId="0" fontId="38" fillId="5" borderId="0" xfId="0" applyFont="1" applyFill="1" applyAlignment="1">
      <alignment horizontal="center" vertical="center"/>
    </xf>
    <xf numFmtId="0" fontId="26" fillId="0" borderId="8" xfId="0" applyFont="1" applyFill="1" applyBorder="1" applyAlignment="1">
      <alignment vertical="center"/>
    </xf>
    <xf numFmtId="0" fontId="26" fillId="0" borderId="8" xfId="0" applyFont="1" applyFill="1" applyBorder="1">
      <alignment vertical="center"/>
    </xf>
    <xf numFmtId="0" fontId="27" fillId="0" borderId="8" xfId="0" applyFont="1" applyFill="1" applyBorder="1">
      <alignment vertical="center"/>
    </xf>
    <xf numFmtId="0" fontId="30" fillId="0" borderId="0" xfId="0" applyFont="1">
      <alignment vertical="center"/>
    </xf>
    <xf numFmtId="0" fontId="30" fillId="0" borderId="0" xfId="0" applyFont="1" applyFill="1">
      <alignment vertical="center"/>
    </xf>
    <xf numFmtId="0" fontId="40" fillId="0" borderId="1" xfId="1" applyFont="1" applyFill="1" applyBorder="1" applyAlignment="1" applyProtection="1">
      <alignment vertical="center"/>
    </xf>
    <xf numFmtId="0" fontId="0" fillId="0" borderId="5" xfId="0" applyBorder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15" fillId="0" borderId="5" xfId="0" applyFont="1" applyFill="1" applyBorder="1" applyAlignment="1">
      <alignment horizontal="left" vertical="top" wrapText="1"/>
    </xf>
    <xf numFmtId="0" fontId="27" fillId="0" borderId="8" xfId="0" applyFont="1" applyBorder="1">
      <alignment vertical="center"/>
    </xf>
    <xf numFmtId="0" fontId="39" fillId="0" borderId="1" xfId="0" applyFont="1" applyBorder="1" applyAlignment="1">
      <alignment horizontal="left" vertical="top" wrapText="1"/>
    </xf>
    <xf numFmtId="0" fontId="39" fillId="0" borderId="1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top" wrapText="1"/>
    </xf>
    <xf numFmtId="0" fontId="41" fillId="0" borderId="5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3" borderId="27" xfId="0" applyFont="1" applyFill="1" applyBorder="1" applyAlignment="1">
      <alignment horizontal="left" vertical="top" wrapText="1"/>
    </xf>
    <xf numFmtId="0" fontId="2" fillId="0" borderId="19" xfId="0" applyFont="1" applyFill="1" applyBorder="1" applyAlignment="1">
      <alignment horizontal="left" vertical="center" wrapText="1"/>
    </xf>
    <xf numFmtId="0" fontId="27" fillId="0" borderId="0" xfId="0" applyFont="1">
      <alignment vertical="center"/>
    </xf>
    <xf numFmtId="0" fontId="43" fillId="0" borderId="3" xfId="0" applyFont="1" applyBorder="1">
      <alignment vertical="center"/>
    </xf>
    <xf numFmtId="0" fontId="43" fillId="0" borderId="4" xfId="0" applyFont="1" applyBorder="1" applyAlignment="1">
      <alignment horizontal="center" vertical="center"/>
    </xf>
    <xf numFmtId="0" fontId="43" fillId="0" borderId="1" xfId="0" applyFont="1" applyBorder="1">
      <alignment vertical="center"/>
    </xf>
    <xf numFmtId="0" fontId="43" fillId="0" borderId="5" xfId="0" applyFont="1" applyBorder="1" applyAlignment="1">
      <alignment horizontal="center" vertical="center"/>
    </xf>
    <xf numFmtId="0" fontId="43" fillId="0" borderId="6" xfId="0" applyFont="1" applyBorder="1">
      <alignment vertical="center"/>
    </xf>
    <xf numFmtId="0" fontId="43" fillId="0" borderId="17" xfId="0" applyFont="1" applyBorder="1" applyAlignment="1">
      <alignment horizontal="center" vertical="center"/>
    </xf>
    <xf numFmtId="0" fontId="43" fillId="0" borderId="27" xfId="0" applyFont="1" applyBorder="1">
      <alignment vertical="center"/>
    </xf>
    <xf numFmtId="0" fontId="43" fillId="0" borderId="28" xfId="0" applyFont="1" applyBorder="1" applyAlignment="1">
      <alignment horizontal="center" vertical="center"/>
    </xf>
    <xf numFmtId="0" fontId="43" fillId="0" borderId="2" xfId="0" applyFont="1" applyFill="1" applyBorder="1">
      <alignment vertical="center"/>
    </xf>
    <xf numFmtId="0" fontId="43" fillId="0" borderId="21" xfId="0" applyFont="1" applyFill="1" applyBorder="1">
      <alignment vertical="center"/>
    </xf>
    <xf numFmtId="0" fontId="43" fillId="0" borderId="22" xfId="0" applyFont="1" applyFill="1" applyBorder="1" applyAlignment="1">
      <alignment vertical="center"/>
    </xf>
    <xf numFmtId="0" fontId="43" fillId="0" borderId="2" xfId="0" applyFont="1" applyFill="1" applyBorder="1" applyAlignment="1">
      <alignment vertical="center"/>
    </xf>
    <xf numFmtId="0" fontId="44" fillId="0" borderId="21" xfId="0" applyFont="1" applyFill="1" applyBorder="1">
      <alignment vertical="center"/>
    </xf>
    <xf numFmtId="0" fontId="43" fillId="0" borderId="22" xfId="0" applyFont="1" applyFill="1" applyBorder="1">
      <alignment vertical="center"/>
    </xf>
    <xf numFmtId="0" fontId="44" fillId="0" borderId="22" xfId="0" applyFont="1" applyFill="1" applyBorder="1">
      <alignment vertical="center"/>
    </xf>
    <xf numFmtId="0" fontId="44" fillId="0" borderId="26" xfId="0" applyFont="1" applyFill="1" applyBorder="1">
      <alignment vertical="center"/>
    </xf>
    <xf numFmtId="0" fontId="44" fillId="0" borderId="2" xfId="0" applyFont="1" applyFill="1" applyBorder="1">
      <alignment vertical="center"/>
    </xf>
    <xf numFmtId="0" fontId="44" fillId="0" borderId="21" xfId="0" applyFont="1" applyBorder="1">
      <alignment vertical="center"/>
    </xf>
    <xf numFmtId="0" fontId="43" fillId="0" borderId="26" xfId="0" applyFont="1" applyFill="1" applyBorder="1">
      <alignment vertical="center"/>
    </xf>
    <xf numFmtId="0" fontId="43" fillId="0" borderId="42" xfId="0" applyFont="1" applyFill="1" applyBorder="1">
      <alignment vertical="center"/>
    </xf>
    <xf numFmtId="0" fontId="43" fillId="0" borderId="19" xfId="0" applyFont="1" applyBorder="1">
      <alignment vertical="center"/>
    </xf>
    <xf numFmtId="0" fontId="43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5" fillId="0" borderId="27" xfId="0" applyFont="1" applyFill="1" applyBorder="1" applyAlignment="1">
      <alignment horizontal="left" vertical="top" wrapText="1"/>
    </xf>
    <xf numFmtId="0" fontId="15" fillId="0" borderId="28" xfId="0" applyFont="1" applyBorder="1" applyAlignment="1">
      <alignment horizontal="left" vertical="top" wrapText="1"/>
    </xf>
    <xf numFmtId="0" fontId="15" fillId="0" borderId="27" xfId="0" applyFont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5" fillId="0" borderId="27" xfId="0" applyFont="1" applyFill="1" applyBorder="1" applyAlignment="1">
      <alignment horizontal="left" vertical="top" wrapText="1"/>
    </xf>
    <xf numFmtId="0" fontId="15" fillId="0" borderId="28" xfId="0" applyFont="1" applyBorder="1" applyAlignment="1">
      <alignment horizontal="left" vertical="top" wrapText="1"/>
    </xf>
    <xf numFmtId="0" fontId="15" fillId="0" borderId="27" xfId="0" applyFont="1" applyBorder="1" applyAlignment="1">
      <alignment horizontal="left" vertical="center" wrapText="1"/>
    </xf>
    <xf numFmtId="177" fontId="5" fillId="0" borderId="16" xfId="2" applyNumberFormat="1" applyFont="1" applyBorder="1" applyAlignment="1">
      <alignment horizontal="left" wrapText="1"/>
    </xf>
    <xf numFmtId="177" fontId="5" fillId="0" borderId="8" xfId="2" applyNumberFormat="1" applyFont="1" applyBorder="1" applyAlignment="1">
      <alignment horizontal="left" wrapText="1"/>
    </xf>
    <xf numFmtId="0" fontId="13" fillId="0" borderId="16" xfId="2" applyFont="1" applyBorder="1" applyAlignment="1">
      <alignment horizontal="right"/>
    </xf>
    <xf numFmtId="0" fontId="4" fillId="0" borderId="8" xfId="2" applyBorder="1" applyAlignment="1">
      <alignment horizontal="right"/>
    </xf>
    <xf numFmtId="0" fontId="5" fillId="0" borderId="16" xfId="2" applyFont="1" applyBorder="1" applyAlignment="1">
      <alignment horizontal="left" wrapText="1"/>
    </xf>
    <xf numFmtId="0" fontId="4" fillId="0" borderId="8" xfId="2" applyBorder="1" applyAlignment="1">
      <alignment horizontal="left" wrapText="1"/>
    </xf>
    <xf numFmtId="49" fontId="5" fillId="0" borderId="16" xfId="2" applyNumberFormat="1" applyFont="1" applyBorder="1" applyAlignment="1">
      <alignment horizontal="left" wrapText="1"/>
    </xf>
    <xf numFmtId="49" fontId="5" fillId="0" borderId="8" xfId="2" applyNumberFormat="1" applyFont="1" applyBorder="1" applyAlignment="1">
      <alignment horizontal="left" wrapText="1"/>
    </xf>
    <xf numFmtId="0" fontId="5" fillId="0" borderId="8" xfId="2" applyFont="1" applyBorder="1" applyAlignment="1">
      <alignment horizontal="left" wrapText="1"/>
    </xf>
    <xf numFmtId="176" fontId="5" fillId="0" borderId="16" xfId="2" applyNumberFormat="1" applyFont="1" applyBorder="1" applyAlignment="1">
      <alignment horizontal="left" wrapText="1"/>
    </xf>
    <xf numFmtId="176" fontId="5" fillId="0" borderId="8" xfId="2" applyNumberFormat="1" applyFont="1" applyBorder="1" applyAlignment="1">
      <alignment horizontal="left" wrapText="1"/>
    </xf>
    <xf numFmtId="0" fontId="5" fillId="3" borderId="16" xfId="2" applyFont="1" applyFill="1" applyBorder="1" applyAlignment="1">
      <alignment horizontal="left" wrapText="1"/>
    </xf>
    <xf numFmtId="0" fontId="5" fillId="3" borderId="15" xfId="2" applyFont="1" applyFill="1" applyBorder="1" applyAlignment="1">
      <alignment horizontal="left" wrapText="1"/>
    </xf>
    <xf numFmtId="0" fontId="5" fillId="3" borderId="8" xfId="2" applyFont="1" applyFill="1" applyBorder="1" applyAlignment="1">
      <alignment horizontal="left" wrapText="1"/>
    </xf>
    <xf numFmtId="0" fontId="32" fillId="0" borderId="16" xfId="2" applyFont="1" applyBorder="1" applyAlignment="1">
      <alignment horizontal="left" vertical="top" wrapText="1"/>
    </xf>
    <xf numFmtId="0" fontId="32" fillId="0" borderId="15" xfId="2" applyFont="1" applyBorder="1" applyAlignment="1">
      <alignment horizontal="left" vertical="top" wrapText="1"/>
    </xf>
    <xf numFmtId="0" fontId="32" fillId="0" borderId="8" xfId="2" applyFont="1" applyBorder="1" applyAlignment="1">
      <alignment horizontal="left" vertical="top" wrapText="1"/>
    </xf>
    <xf numFmtId="0" fontId="5" fillId="0" borderId="16" xfId="2" applyFont="1" applyBorder="1" applyAlignment="1">
      <alignment horizontal="left" vertical="top" wrapText="1"/>
    </xf>
    <xf numFmtId="0" fontId="5" fillId="0" borderId="15" xfId="2" applyFont="1" applyBorder="1" applyAlignment="1">
      <alignment horizontal="left" vertical="top" wrapText="1"/>
    </xf>
    <xf numFmtId="0" fontId="5" fillId="0" borderId="8" xfId="2" applyFont="1" applyBorder="1" applyAlignment="1">
      <alignment horizontal="left" vertical="top" wrapText="1"/>
    </xf>
    <xf numFmtId="0" fontId="5" fillId="3" borderId="16" xfId="2" applyFont="1" applyFill="1" applyBorder="1" applyAlignment="1">
      <alignment horizontal="left" vertical="top" wrapText="1"/>
    </xf>
    <xf numFmtId="0" fontId="5" fillId="3" borderId="15" xfId="2" applyFont="1" applyFill="1" applyBorder="1" applyAlignment="1">
      <alignment horizontal="left" vertical="top" wrapText="1"/>
    </xf>
    <xf numFmtId="0" fontId="5" fillId="3" borderId="8" xfId="2" applyFont="1" applyFill="1" applyBorder="1" applyAlignment="1">
      <alignment horizontal="left" vertical="top" wrapText="1"/>
    </xf>
    <xf numFmtId="0" fontId="5" fillId="0" borderId="15" xfId="2" applyFont="1" applyBorder="1" applyAlignment="1">
      <alignment horizontal="left" wrapText="1"/>
    </xf>
    <xf numFmtId="0" fontId="7" fillId="0" borderId="9" xfId="3" applyFont="1" applyBorder="1" applyAlignment="1">
      <alignment horizontal="left" vertical="top"/>
    </xf>
    <xf numFmtId="0" fontId="7" fillId="0" borderId="10" xfId="3" applyFont="1" applyBorder="1" applyAlignment="1">
      <alignment horizontal="left" vertical="top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13" fillId="0" borderId="1" xfId="2" applyFont="1" applyBorder="1" applyAlignment="1">
      <alignment horizontal="right"/>
    </xf>
    <xf numFmtId="0" fontId="4" fillId="0" borderId="1" xfId="2" applyBorder="1" applyAlignment="1">
      <alignment horizontal="right"/>
    </xf>
    <xf numFmtId="177" fontId="5" fillId="0" borderId="16" xfId="8" quotePrefix="1" applyNumberFormat="1" applyFont="1" applyBorder="1" applyAlignment="1">
      <alignment horizontal="left" wrapText="1"/>
    </xf>
    <xf numFmtId="177" fontId="5" fillId="0" borderId="8" xfId="8" applyNumberFormat="1" applyFont="1" applyBorder="1" applyAlignment="1">
      <alignment horizontal="left" wrapText="1"/>
    </xf>
    <xf numFmtId="0" fontId="5" fillId="0" borderId="0" xfId="2" applyFont="1" applyBorder="1" applyAlignment="1">
      <alignment horizontal="left"/>
    </xf>
    <xf numFmtId="0" fontId="13" fillId="2" borderId="16" xfId="2" applyFont="1" applyFill="1" applyBorder="1" applyAlignment="1">
      <alignment horizontal="center" wrapText="1"/>
    </xf>
    <xf numFmtId="0" fontId="13" fillId="2" borderId="15" xfId="2" applyFont="1" applyFill="1" applyBorder="1" applyAlignment="1">
      <alignment horizontal="center" wrapText="1"/>
    </xf>
    <xf numFmtId="0" fontId="13" fillId="2" borderId="8" xfId="2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7" fillId="0" borderId="16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6" fillId="0" borderId="29" xfId="0" applyFont="1" applyBorder="1" applyAlignment="1">
      <alignment vertical="center" wrapText="1"/>
    </xf>
    <xf numFmtId="0" fontId="26" fillId="0" borderId="30" xfId="0" applyFont="1" applyBorder="1" applyAlignment="1">
      <alignment vertical="center" wrapText="1"/>
    </xf>
    <xf numFmtId="0" fontId="26" fillId="0" borderId="2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15" fillId="7" borderId="2" xfId="0" applyFont="1" applyFill="1" applyBorder="1" applyAlignment="1">
      <alignment horizontal="left" vertical="center" wrapText="1"/>
    </xf>
    <xf numFmtId="0" fontId="15" fillId="7" borderId="21" xfId="0" applyFont="1" applyFill="1" applyBorder="1" applyAlignment="1">
      <alignment horizontal="left" vertical="center" wrapText="1"/>
    </xf>
    <xf numFmtId="0" fontId="15" fillId="7" borderId="22" xfId="0" applyFont="1" applyFill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top" wrapText="1"/>
    </xf>
    <xf numFmtId="0" fontId="15" fillId="0" borderId="15" xfId="0" applyFont="1" applyBorder="1" applyAlignment="1">
      <alignment horizontal="left" vertical="top" wrapText="1"/>
    </xf>
    <xf numFmtId="0" fontId="15" fillId="0" borderId="8" xfId="0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5" fillId="7" borderId="26" xfId="0" applyFont="1" applyFill="1" applyBorder="1" applyAlignment="1">
      <alignment horizontal="left" vertical="center" wrapText="1"/>
    </xf>
    <xf numFmtId="0" fontId="47" fillId="3" borderId="16" xfId="2" applyFont="1" applyFill="1" applyBorder="1" applyAlignment="1">
      <alignment horizontal="left" vertical="top" wrapText="1"/>
    </xf>
  </cellXfs>
  <cellStyles count="12">
    <cellStyle name="Comma_UM HPC Pricing Summary" xfId="8" xr:uid="{00000000-0005-0000-0000-000000000000}"/>
    <cellStyle name="Header 1" xfId="3" xr:uid="{00000000-0005-0000-0000-000001000000}"/>
    <cellStyle name="Header 2" xfId="7" xr:uid="{00000000-0005-0000-0000-000002000000}"/>
    <cellStyle name="Header Center" xfId="4" xr:uid="{00000000-0005-0000-0000-000003000000}"/>
    <cellStyle name="HP Logo" xfId="6" xr:uid="{00000000-0005-0000-0000-000004000000}"/>
    <cellStyle name="Normal 2" xfId="9" xr:uid="{00000000-0005-0000-0000-000005000000}"/>
    <cellStyle name="Normal_Doc. Info" xfId="5" xr:uid="{00000000-0005-0000-0000-000006000000}"/>
    <cellStyle name="一般" xfId="0" builtinId="0"/>
    <cellStyle name="一般 2" xfId="10" xr:uid="{00000000-0005-0000-0000-000008000000}"/>
    <cellStyle name="一般_ILDC_General_Template_Excel" xfId="2" xr:uid="{00000000-0005-0000-0000-000009000000}"/>
    <cellStyle name="超連結" xfId="1" builtinId="8"/>
    <cellStyle name="超連結 2" xfId="11" xr:uid="{00000000-0005-0000-0000-00000B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99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3.emf"/><Relationship Id="rId1" Type="http://schemas.openxmlformats.org/officeDocument/2006/relationships/image" Target="../media/image12.emf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15.emf"/><Relationship Id="rId1" Type="http://schemas.openxmlformats.org/officeDocument/2006/relationships/image" Target="../media/image14.emf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17.emf"/><Relationship Id="rId1" Type="http://schemas.openxmlformats.org/officeDocument/2006/relationships/image" Target="../media/image16.emf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19.emf"/><Relationship Id="rId1" Type="http://schemas.openxmlformats.org/officeDocument/2006/relationships/image" Target="../media/image18.emf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1.emf"/><Relationship Id="rId1" Type="http://schemas.openxmlformats.org/officeDocument/2006/relationships/image" Target="../media/image20.emf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3.emf"/><Relationship Id="rId1" Type="http://schemas.openxmlformats.org/officeDocument/2006/relationships/image" Target="../media/image22.emf"/></Relationships>
</file>

<file path=xl/drawings/_rels/vmlDrawing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5.emf"/><Relationship Id="rId1" Type="http://schemas.openxmlformats.org/officeDocument/2006/relationships/image" Target="../media/image24.emf"/></Relationships>
</file>

<file path=xl/drawings/_rels/vmlDrawing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7.emf"/><Relationship Id="rId1" Type="http://schemas.openxmlformats.org/officeDocument/2006/relationships/image" Target="../media/image26.emf"/></Relationships>
</file>

<file path=xl/drawings/_rels/vmlDrawing1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9.emf"/><Relationship Id="rId1" Type="http://schemas.openxmlformats.org/officeDocument/2006/relationships/image" Target="../media/image28.emf"/></Relationships>
</file>

<file path=xl/drawings/_rels/vmlDrawing15.vml.rels><?xml version="1.0" encoding="UTF-8" standalone="yes"?>
<Relationships xmlns="http://schemas.openxmlformats.org/package/2006/relationships"><Relationship Id="rId2" Type="http://schemas.openxmlformats.org/officeDocument/2006/relationships/image" Target="../media/image31.emf"/><Relationship Id="rId1" Type="http://schemas.openxmlformats.org/officeDocument/2006/relationships/image" Target="../media/image30.emf"/></Relationships>
</file>

<file path=xl/drawings/_rels/vmlDrawing16.vml.rels><?xml version="1.0" encoding="UTF-8" standalone="yes"?>
<Relationships xmlns="http://schemas.openxmlformats.org/package/2006/relationships"><Relationship Id="rId2" Type="http://schemas.openxmlformats.org/officeDocument/2006/relationships/image" Target="../media/image33.emf"/><Relationship Id="rId1" Type="http://schemas.openxmlformats.org/officeDocument/2006/relationships/image" Target="../media/image32.emf"/></Relationships>
</file>

<file path=xl/drawings/_rels/vmlDrawing1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6.emf"/><Relationship Id="rId2" Type="http://schemas.openxmlformats.org/officeDocument/2006/relationships/image" Target="../media/image35.emf"/><Relationship Id="rId1" Type="http://schemas.openxmlformats.org/officeDocument/2006/relationships/image" Target="../media/image34.emf"/></Relationships>
</file>

<file path=xl/drawings/_rels/vmlDrawing18.vml.rels><?xml version="1.0" encoding="UTF-8" standalone="yes"?>
<Relationships xmlns="http://schemas.openxmlformats.org/package/2006/relationships"><Relationship Id="rId2" Type="http://schemas.openxmlformats.org/officeDocument/2006/relationships/image" Target="../media/image38.emf"/><Relationship Id="rId1" Type="http://schemas.openxmlformats.org/officeDocument/2006/relationships/image" Target="../media/image37.emf"/></Relationships>
</file>

<file path=xl/drawings/_rels/vmlDrawing19.vml.rels><?xml version="1.0" encoding="UTF-8" standalone="yes"?>
<Relationships xmlns="http://schemas.openxmlformats.org/package/2006/relationships"><Relationship Id="rId2" Type="http://schemas.openxmlformats.org/officeDocument/2006/relationships/image" Target="../media/image40.emf"/><Relationship Id="rId1" Type="http://schemas.openxmlformats.org/officeDocument/2006/relationships/image" Target="../media/image39.emf"/></Relationships>
</file>

<file path=xl/drawings/_rels/vmlDrawing20.vml.rels><?xml version="1.0" encoding="UTF-8" standalone="yes"?>
<Relationships xmlns="http://schemas.openxmlformats.org/package/2006/relationships"><Relationship Id="rId2" Type="http://schemas.openxmlformats.org/officeDocument/2006/relationships/image" Target="../media/image42.emf"/><Relationship Id="rId1" Type="http://schemas.openxmlformats.org/officeDocument/2006/relationships/image" Target="../media/image41.emf"/></Relationships>
</file>

<file path=xl/drawings/_rels/vmlDrawing2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4.emf"/><Relationship Id="rId1" Type="http://schemas.openxmlformats.org/officeDocument/2006/relationships/image" Target="../media/image43.emf"/></Relationships>
</file>

<file path=xl/drawings/_rels/vmlDrawing2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6.emf"/><Relationship Id="rId1" Type="http://schemas.openxmlformats.org/officeDocument/2006/relationships/image" Target="../media/image45.emf"/></Relationships>
</file>

<file path=xl/drawings/_rels/vmlDrawing23.vml.rels><?xml version="1.0" encoding="UTF-8" standalone="yes"?>
<Relationships xmlns="http://schemas.openxmlformats.org/package/2006/relationships"><Relationship Id="rId2" Type="http://schemas.openxmlformats.org/officeDocument/2006/relationships/image" Target="../media/image48.emf"/><Relationship Id="rId1" Type="http://schemas.openxmlformats.org/officeDocument/2006/relationships/image" Target="../media/image4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121919</xdr:colOff>
      <xdr:row>0</xdr:row>
      <xdr:rowOff>129540</xdr:rowOff>
    </xdr:from>
    <xdr:to>
      <xdr:col>2</xdr:col>
      <xdr:colOff>818138</xdr:colOff>
      <xdr:row>1</xdr:row>
      <xdr:rowOff>205740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19" y="129540"/>
          <a:ext cx="1282959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618362</xdr:colOff>
      <xdr:row>1</xdr:row>
      <xdr:rowOff>109331</xdr:rowOff>
    </xdr:to>
    <xdr:pic>
      <xdr:nvPicPr>
        <xdr:cNvPr id="3" name="圖片 1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34588" cy="420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251459</xdr:colOff>
      <xdr:row>39</xdr:row>
      <xdr:rowOff>163831</xdr:rowOff>
    </xdr:from>
    <xdr:to>
      <xdr:col>13</xdr:col>
      <xdr:colOff>342899</xdr:colOff>
      <xdr:row>69</xdr:row>
      <xdr:rowOff>57150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590799" y="8016241"/>
          <a:ext cx="6486525" cy="5886449"/>
          <a:chOff x="3158489" y="5732146"/>
          <a:chExt cx="6465570" cy="5715074"/>
        </a:xfrm>
      </xdr:grpSpPr>
      <xdr:cxnSp macro="">
        <xdr:nvCxnSpPr>
          <xdr:cNvPr id="3" name="直線接點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CxnSpPr/>
        </xdr:nvCxnSpPr>
        <xdr:spPr>
          <a:xfrm rot="5400000">
            <a:off x="1908216" y="8594049"/>
            <a:ext cx="5704755" cy="1588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直線接點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CxnSpPr/>
        </xdr:nvCxnSpPr>
        <xdr:spPr>
          <a:xfrm rot="5400000">
            <a:off x="5000031" y="8594049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直線接點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CxnSpPr/>
        </xdr:nvCxnSpPr>
        <xdr:spPr>
          <a:xfrm rot="5400000">
            <a:off x="6771681" y="8594049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直線接點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CxnSpPr/>
        </xdr:nvCxnSpPr>
        <xdr:spPr>
          <a:xfrm rot="5400000">
            <a:off x="306111" y="8584524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17145</xdr:colOff>
      <xdr:row>41</xdr:row>
      <xdr:rowOff>100965</xdr:rowOff>
    </xdr:from>
    <xdr:to>
      <xdr:col>11</xdr:col>
      <xdr:colOff>1</xdr:colOff>
      <xdr:row>44</xdr:row>
      <xdr:rowOff>19591</xdr:rowOff>
    </xdr:to>
    <xdr:grpSp>
      <xdr:nvGrpSpPr>
        <xdr:cNvPr id="7" name="群組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4221480" y="8345805"/>
          <a:ext cx="3074671" cy="518701"/>
          <a:chOff x="1743074" y="904875"/>
          <a:chExt cx="2001600" cy="512986"/>
        </a:xfrm>
      </xdr:grpSpPr>
      <xdr:sp macro="" textlink="">
        <xdr:nvSpPr>
          <xdr:cNvPr id="8" name="文字方塊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>
            <a:off x="1828799" y="981075"/>
            <a:ext cx="1838325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QueryLifterInfo</a:t>
            </a:r>
            <a:r>
              <a:rPr lang="en-US" altLang="zh-TW" sz="1100"/>
              <a:t>()</a:t>
            </a:r>
            <a:br>
              <a:rPr lang="en-US" altLang="zh-TW" sz="1100"/>
            </a:br>
            <a:r>
              <a:rPr lang="zh-TW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更新</a:t>
            </a:r>
            <a:r>
              <a:rPr lang="en-US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Lifter</a:t>
            </a:r>
            <a:r>
              <a:rPr lang="zh-TW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資訊</a:t>
            </a:r>
            <a:endParaRPr lang="zh-TW" altLang="zh-TW">
              <a:effectLst/>
            </a:endParaRPr>
          </a:p>
          <a:p>
            <a:endParaRPr lang="zh-TW" altLang="en-US" sz="1100"/>
          </a:p>
        </xdr:txBody>
      </xdr:sp>
      <xdr:cxnSp macro="">
        <xdr:nvCxnSpPr>
          <xdr:cNvPr id="9" name="直線單箭頭接點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CxnSpPr/>
        </xdr:nvCxnSpPr>
        <xdr:spPr>
          <a:xfrm>
            <a:off x="1743074" y="904875"/>
            <a:ext cx="2001600" cy="0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直線單箭頭接點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 rot="10800000" flipV="1">
            <a:off x="1743075" y="990600"/>
            <a:ext cx="2000250" cy="2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430530</xdr:colOff>
      <xdr:row>2</xdr:row>
      <xdr:rowOff>0</xdr:rowOff>
    </xdr:from>
    <xdr:to>
      <xdr:col>14</xdr:col>
      <xdr:colOff>179070</xdr:colOff>
      <xdr:row>3</xdr:row>
      <xdr:rowOff>152400</xdr:rowOff>
    </xdr:to>
    <xdr:grpSp>
      <xdr:nvGrpSpPr>
        <xdr:cNvPr id="11" name="群組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pSpPr/>
      </xdr:nvGrpSpPr>
      <xdr:grpSpPr>
        <a:xfrm>
          <a:off x="2158365" y="409575"/>
          <a:ext cx="7372350" cy="352425"/>
          <a:chOff x="2722245" y="403860"/>
          <a:chExt cx="7357110" cy="350520"/>
        </a:xfrm>
      </xdr:grpSpPr>
      <xdr:sp macro="" textlink="">
        <xdr:nvSpPr>
          <xdr:cNvPr id="12" name="矩形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/>
        </xdr:nvSpPr>
        <xdr:spPr>
          <a:xfrm>
            <a:off x="4278630" y="403860"/>
            <a:ext cx="98679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MCS</a:t>
            </a:r>
            <a:endParaRPr lang="zh-TW" altLang="en-US" sz="1100"/>
          </a:p>
        </xdr:txBody>
      </xdr:sp>
      <xdr:sp macro="" textlink="">
        <xdr:nvSpPr>
          <xdr:cNvPr id="13" name="矩形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/>
        </xdr:nvSpPr>
        <xdr:spPr>
          <a:xfrm>
            <a:off x="7355205" y="403860"/>
            <a:ext cx="96012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Lifter</a:t>
            </a:r>
          </a:p>
        </xdr:txBody>
      </xdr:sp>
      <xdr:sp macro="" textlink="">
        <xdr:nvSpPr>
          <xdr:cNvPr id="14" name="矩形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/>
        </xdr:nvSpPr>
        <xdr:spPr>
          <a:xfrm>
            <a:off x="9187815" y="403860"/>
            <a:ext cx="89154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AGVC</a:t>
            </a:r>
            <a:endParaRPr lang="zh-TW" altLang="en-US" sz="1100"/>
          </a:p>
        </xdr:txBody>
      </xdr:sp>
      <xdr:sp macro="" textlink="">
        <xdr:nvSpPr>
          <xdr:cNvPr id="15" name="矩形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/>
        </xdr:nvSpPr>
        <xdr:spPr>
          <a:xfrm>
            <a:off x="2722245" y="403860"/>
            <a:ext cx="891540" cy="340995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DCS</a:t>
            </a:r>
            <a:endParaRPr lang="zh-TW" altLang="en-US" sz="1100"/>
          </a:p>
        </xdr:txBody>
      </xdr:sp>
    </xdr:grpSp>
    <xdr:clientData/>
  </xdr:twoCellAnchor>
  <xdr:twoCellAnchor>
    <xdr:from>
      <xdr:col>3</xdr:col>
      <xdr:colOff>255269</xdr:colOff>
      <xdr:row>3</xdr:row>
      <xdr:rowOff>140970</xdr:rowOff>
    </xdr:from>
    <xdr:to>
      <xdr:col>13</xdr:col>
      <xdr:colOff>354329</xdr:colOff>
      <xdr:row>13</xdr:row>
      <xdr:rowOff>76200</xdr:rowOff>
    </xdr:to>
    <xdr:grpSp>
      <xdr:nvGrpSpPr>
        <xdr:cNvPr id="16" name="群組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pSpPr/>
      </xdr:nvGrpSpPr>
      <xdr:grpSpPr>
        <a:xfrm>
          <a:off x="2594609" y="748665"/>
          <a:ext cx="6496050" cy="1937385"/>
          <a:chOff x="3168014" y="744855"/>
          <a:chExt cx="6465570" cy="4573905"/>
        </a:xfrm>
      </xdr:grpSpPr>
      <xdr:cxnSp macro="">
        <xdr:nvCxnSpPr>
          <xdr:cNvPr id="17" name="直線接點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CxnSpPr>
            <a:stCxn id="12" idx="2"/>
          </xdr:cNvCxnSpPr>
        </xdr:nvCxnSpPr>
        <xdr:spPr>
          <a:xfrm flipH="1">
            <a:off x="4761707" y="756194"/>
            <a:ext cx="10318" cy="4562566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直線接點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13" idx="2"/>
          </xdr:cNvCxnSpPr>
        </xdr:nvCxnSpPr>
        <xdr:spPr>
          <a:xfrm rot="5400000">
            <a:off x="5570682" y="3041065"/>
            <a:ext cx="4552024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直線接點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14" idx="2"/>
          </xdr:cNvCxnSpPr>
        </xdr:nvCxnSpPr>
        <xdr:spPr>
          <a:xfrm rot="5400000">
            <a:off x="7357572" y="3041065"/>
            <a:ext cx="4552024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直線接點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15" idx="2"/>
          </xdr:cNvCxnSpPr>
        </xdr:nvCxnSpPr>
        <xdr:spPr>
          <a:xfrm rot="5400000">
            <a:off x="892002" y="3020867"/>
            <a:ext cx="4552024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22859</xdr:colOff>
      <xdr:row>5</xdr:row>
      <xdr:rowOff>93343</xdr:rowOff>
    </xdr:from>
    <xdr:to>
      <xdr:col>10</xdr:col>
      <xdr:colOff>600075</xdr:colOff>
      <xdr:row>9</xdr:row>
      <xdr:rowOff>130080</xdr:rowOff>
    </xdr:to>
    <xdr:grpSp>
      <xdr:nvGrpSpPr>
        <xdr:cNvPr id="21" name="群組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pSpPr/>
      </xdr:nvGrpSpPr>
      <xdr:grpSpPr>
        <a:xfrm>
          <a:off x="4219574" y="1106803"/>
          <a:ext cx="3055621" cy="836837"/>
          <a:chOff x="1743074" y="904875"/>
          <a:chExt cx="2001600" cy="475526"/>
        </a:xfrm>
      </xdr:grpSpPr>
      <xdr:sp macro="" textlink="">
        <xdr:nvSpPr>
          <xdr:cNvPr id="22" name="文字方塊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1775659" y="943614"/>
            <a:ext cx="1915188" cy="43678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algn="r"/>
            <a:r>
              <a:rPr lang="en-US" altLang="zh-TW" sz="1100"/>
              <a:t>Switch</a:t>
            </a:r>
            <a:r>
              <a:rPr lang="en-US" altLang="zh-TW" sz="1100">
                <a:solidFill>
                  <a:sysClr val="windowText" lastClr="000000"/>
                </a:solidFill>
              </a:rPr>
              <a:t>Run</a:t>
            </a:r>
            <a:r>
              <a:rPr lang="en-US" altLang="zh-TW" sz="1100"/>
              <a:t>Mode()</a:t>
            </a:r>
            <a:br>
              <a:rPr lang="en-US" altLang="zh-TW" sz="1100"/>
            </a:br>
            <a:r>
              <a:rPr lang="zh-TW" altLang="en-US" sz="1100"/>
              <a:t>回報</a:t>
            </a:r>
            <a:r>
              <a:rPr lang="en-US" altLang="zh-TW" sz="1100"/>
              <a:t>Lifter</a:t>
            </a:r>
            <a:r>
              <a:rPr lang="zh-TW" altLang="en-US" sz="1100"/>
              <a:t>切換</a:t>
            </a:r>
            <a:r>
              <a:rPr lang="en-US" altLang="zh-TW" sz="1100">
                <a:solidFill>
                  <a:srgbClr val="FF0000"/>
                </a:solidFill>
              </a:rPr>
              <a:t>Offline/Online</a:t>
            </a:r>
            <a:endParaRPr lang="zh-TW" altLang="en-US" sz="1100">
              <a:solidFill>
                <a:srgbClr val="FF0000"/>
              </a:solidFill>
            </a:endParaRPr>
          </a:p>
        </xdr:txBody>
      </xdr:sp>
      <xdr:cxnSp macro="">
        <xdr:nvCxnSpPr>
          <xdr:cNvPr id="23" name="直線單箭頭接點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1743074" y="904875"/>
            <a:ext cx="2001600" cy="0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直線單箭頭接點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CxnSpPr/>
        </xdr:nvCxnSpPr>
        <xdr:spPr>
          <a:xfrm rot="10800000" flipV="1">
            <a:off x="1743075" y="953139"/>
            <a:ext cx="2000250" cy="2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607807</xdr:colOff>
      <xdr:row>9</xdr:row>
      <xdr:rowOff>132901</xdr:rowOff>
    </xdr:from>
    <xdr:to>
      <xdr:col>10</xdr:col>
      <xdr:colOff>609158</xdr:colOff>
      <xdr:row>12</xdr:row>
      <xdr:rowOff>38100</xdr:rowOff>
    </xdr:to>
    <xdr:grpSp>
      <xdr:nvGrpSpPr>
        <xdr:cNvPr id="25" name="群組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pSpPr/>
      </xdr:nvGrpSpPr>
      <xdr:grpSpPr>
        <a:xfrm>
          <a:off x="4189207" y="1946461"/>
          <a:ext cx="3096976" cy="501464"/>
          <a:chOff x="5238750" y="2085975"/>
          <a:chExt cx="3430351" cy="498455"/>
        </a:xfrm>
      </xdr:grpSpPr>
      <xdr:sp macro="" textlink="">
        <xdr:nvSpPr>
          <xdr:cNvPr id="26" name="文字方塊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5353051" y="2162176"/>
            <a:ext cx="3267075" cy="42225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r>
              <a:rPr lang="en-US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QueryLifterInfo</a:t>
            </a:r>
            <a:r>
              <a:rPr lang="en-US" altLang="zh-TW" sz="1100">
                <a:solidFill>
                  <a:sysClr val="windowText" lastClr="000000"/>
                </a:solidFill>
              </a:rPr>
              <a:t>()</a:t>
            </a:r>
          </a:p>
          <a:p>
            <a:r>
              <a:rPr lang="zh-TW" altLang="en-US" sz="1100">
                <a:solidFill>
                  <a:sysClr val="windowText" lastClr="000000"/>
                </a:solidFill>
              </a:rPr>
              <a:t>更新</a:t>
            </a:r>
            <a:r>
              <a:rPr lang="en-US" altLang="zh-TW" sz="1100">
                <a:solidFill>
                  <a:sysClr val="windowText" lastClr="000000"/>
                </a:solidFill>
              </a:rPr>
              <a:t>Lifter</a:t>
            </a:r>
            <a:r>
              <a:rPr lang="zh-TW" altLang="en-US" sz="1100">
                <a:solidFill>
                  <a:sysClr val="windowText" lastClr="000000"/>
                </a:solidFill>
              </a:rPr>
              <a:t>資訊</a:t>
            </a:r>
            <a:endParaRPr lang="en-US" altLang="zh-TW" sz="1100">
              <a:solidFill>
                <a:sysClr val="windowText" lastClr="000000"/>
              </a:solidFill>
            </a:endParaRPr>
          </a:p>
          <a:p>
            <a:endParaRPr lang="zh-TW" altLang="en-US" sz="1100">
              <a:solidFill>
                <a:schemeClr val="accent6">
                  <a:lumMod val="75000"/>
                </a:schemeClr>
              </a:solidFill>
            </a:endParaRPr>
          </a:p>
        </xdr:txBody>
      </xdr:sp>
      <xdr:cxnSp macro="">
        <xdr:nvCxnSpPr>
          <xdr:cNvPr id="27" name="直線單箭頭接點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CxnSpPr/>
        </xdr:nvCxnSpPr>
        <xdr:spPr>
          <a:xfrm>
            <a:off x="5238750" y="2085975"/>
            <a:ext cx="3430350" cy="0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直線單箭頭接點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CxnSpPr/>
        </xdr:nvCxnSpPr>
        <xdr:spPr>
          <a:xfrm rot="10800000" flipV="1">
            <a:off x="5238751" y="2171700"/>
            <a:ext cx="3430350" cy="2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421005</xdr:colOff>
      <xdr:row>37</xdr:row>
      <xdr:rowOff>171450</xdr:rowOff>
    </xdr:from>
    <xdr:to>
      <xdr:col>14</xdr:col>
      <xdr:colOff>169545</xdr:colOff>
      <xdr:row>39</xdr:row>
      <xdr:rowOff>114300</xdr:rowOff>
    </xdr:to>
    <xdr:grpSp>
      <xdr:nvGrpSpPr>
        <xdr:cNvPr id="29" name="群組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GrpSpPr/>
      </xdr:nvGrpSpPr>
      <xdr:grpSpPr>
        <a:xfrm>
          <a:off x="2145030" y="7606665"/>
          <a:ext cx="7381875" cy="356235"/>
          <a:chOff x="2722245" y="403860"/>
          <a:chExt cx="7357110" cy="350520"/>
        </a:xfrm>
      </xdr:grpSpPr>
      <xdr:sp macro="" textlink="">
        <xdr:nvSpPr>
          <xdr:cNvPr id="30" name="矩形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/>
        </xdr:nvSpPr>
        <xdr:spPr>
          <a:xfrm>
            <a:off x="4278630" y="403860"/>
            <a:ext cx="97155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MCS</a:t>
            </a:r>
            <a:endParaRPr lang="zh-TW" altLang="en-US" sz="1100"/>
          </a:p>
        </xdr:txBody>
      </xdr:sp>
      <xdr:sp macro="" textlink="">
        <xdr:nvSpPr>
          <xdr:cNvPr id="31" name="矩形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/>
        </xdr:nvSpPr>
        <xdr:spPr>
          <a:xfrm>
            <a:off x="7355205" y="403860"/>
            <a:ext cx="96012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Lifter</a:t>
            </a:r>
          </a:p>
        </xdr:txBody>
      </xdr:sp>
      <xdr:sp macro="" textlink="">
        <xdr:nvSpPr>
          <xdr:cNvPr id="32" name="矩形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/>
        </xdr:nvSpPr>
        <xdr:spPr>
          <a:xfrm>
            <a:off x="9187815" y="403860"/>
            <a:ext cx="89154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AGVC</a:t>
            </a:r>
            <a:endParaRPr lang="zh-TW" altLang="en-US" sz="1100"/>
          </a:p>
        </xdr:txBody>
      </xdr:sp>
      <xdr:sp macro="" textlink="">
        <xdr:nvSpPr>
          <xdr:cNvPr id="33" name="矩形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/>
        </xdr:nvSpPr>
        <xdr:spPr>
          <a:xfrm>
            <a:off x="2722245" y="403860"/>
            <a:ext cx="891540" cy="340995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DCS</a:t>
            </a:r>
            <a:endParaRPr lang="zh-TW" altLang="en-US" sz="1100"/>
          </a:p>
        </xdr:txBody>
      </xdr:sp>
    </xdr:grpSp>
    <xdr:clientData/>
  </xdr:twoCellAnchor>
  <xdr:twoCellAnchor>
    <xdr:from>
      <xdr:col>3</xdr:col>
      <xdr:colOff>251459</xdr:colOff>
      <xdr:row>95</xdr:row>
      <xdr:rowOff>163830</xdr:rowOff>
    </xdr:from>
    <xdr:to>
      <xdr:col>13</xdr:col>
      <xdr:colOff>342899</xdr:colOff>
      <xdr:row>147</xdr:row>
      <xdr:rowOff>15239</xdr:rowOff>
    </xdr:to>
    <xdr:grpSp>
      <xdr:nvGrpSpPr>
        <xdr:cNvPr id="34" name="群組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GrpSpPr/>
      </xdr:nvGrpSpPr>
      <xdr:grpSpPr>
        <a:xfrm>
          <a:off x="2590799" y="19236690"/>
          <a:ext cx="6486525" cy="10309859"/>
          <a:chOff x="3158489" y="5732146"/>
          <a:chExt cx="6465570" cy="5715074"/>
        </a:xfrm>
      </xdr:grpSpPr>
      <xdr:cxnSp macro="">
        <xdr:nvCxnSpPr>
          <xdr:cNvPr id="35" name="直線接點 34">
            <a:extLst>
              <a:ext uri="{FF2B5EF4-FFF2-40B4-BE49-F238E27FC236}">
                <a16:creationId xmlns:a16="http://schemas.microsoft.com/office/drawing/2014/main" id="{00000000-0008-0000-0500-000023000000}"/>
              </a:ext>
            </a:extLst>
          </xdr:cNvPr>
          <xdr:cNvCxnSpPr/>
        </xdr:nvCxnSpPr>
        <xdr:spPr>
          <a:xfrm rot="5400000">
            <a:off x="1908216" y="8594049"/>
            <a:ext cx="5704755" cy="1588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直線接點 35">
            <a:extLst>
              <a:ext uri="{FF2B5EF4-FFF2-40B4-BE49-F238E27FC236}">
                <a16:creationId xmlns:a16="http://schemas.microsoft.com/office/drawing/2014/main" id="{00000000-0008-0000-0500-000024000000}"/>
              </a:ext>
            </a:extLst>
          </xdr:cNvPr>
          <xdr:cNvCxnSpPr/>
        </xdr:nvCxnSpPr>
        <xdr:spPr>
          <a:xfrm rot="5400000">
            <a:off x="5000031" y="8594049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直線接點 36">
            <a:extLst>
              <a:ext uri="{FF2B5EF4-FFF2-40B4-BE49-F238E27FC236}">
                <a16:creationId xmlns:a16="http://schemas.microsoft.com/office/drawing/2014/main" id="{00000000-0008-0000-0500-000025000000}"/>
              </a:ext>
            </a:extLst>
          </xdr:cNvPr>
          <xdr:cNvCxnSpPr/>
        </xdr:nvCxnSpPr>
        <xdr:spPr>
          <a:xfrm rot="5400000">
            <a:off x="6771681" y="8594049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直線接點 37">
            <a:extLst>
              <a:ext uri="{FF2B5EF4-FFF2-40B4-BE49-F238E27FC236}">
                <a16:creationId xmlns:a16="http://schemas.microsoft.com/office/drawing/2014/main" id="{00000000-0008-0000-0500-000026000000}"/>
              </a:ext>
            </a:extLst>
          </xdr:cNvPr>
          <xdr:cNvCxnSpPr/>
        </xdr:nvCxnSpPr>
        <xdr:spPr>
          <a:xfrm rot="5400000">
            <a:off x="306111" y="8584524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609601</xdr:colOff>
      <xdr:row>99</xdr:row>
      <xdr:rowOff>55248</xdr:rowOff>
    </xdr:from>
    <xdr:to>
      <xdr:col>13</xdr:col>
      <xdr:colOff>333924</xdr:colOff>
      <xdr:row>102</xdr:row>
      <xdr:rowOff>7620</xdr:rowOff>
    </xdr:to>
    <xdr:grpSp>
      <xdr:nvGrpSpPr>
        <xdr:cNvPr id="39" name="群組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GrpSpPr/>
      </xdr:nvGrpSpPr>
      <xdr:grpSpPr>
        <a:xfrm>
          <a:off x="4191001" y="19928208"/>
          <a:ext cx="4875443" cy="550542"/>
          <a:chOff x="1743074" y="904875"/>
          <a:chExt cx="2009704" cy="389405"/>
        </a:xfrm>
      </xdr:grpSpPr>
      <xdr:sp macro="" textlink="">
        <xdr:nvSpPr>
          <xdr:cNvPr id="40" name="文字方塊 39">
            <a:extLst>
              <a:ext uri="{FF2B5EF4-FFF2-40B4-BE49-F238E27FC236}">
                <a16:creationId xmlns:a16="http://schemas.microsoft.com/office/drawing/2014/main" id="{00000000-0008-0000-0500-000028000000}"/>
              </a:ext>
            </a:extLst>
          </xdr:cNvPr>
          <xdr:cNvSpPr txBox="1"/>
        </xdr:nvSpPr>
        <xdr:spPr>
          <a:xfrm>
            <a:off x="1775659" y="1041926"/>
            <a:ext cx="1949322" cy="25235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algn="r"/>
            <a:r>
              <a:rPr lang="en-US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EnterLifteRequest()</a:t>
            </a:r>
            <a:br>
              <a:rPr lang="en-US" altLang="zh-TW" sz="1100"/>
            </a:br>
            <a:r>
              <a:rPr lang="zh-TW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電梯前</a:t>
            </a:r>
            <a:r>
              <a:rPr lang="en-US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altLang="zh-TW" sz="1100"/>
              <a:t>AGV</a:t>
            </a:r>
            <a:r>
              <a:rPr lang="zh-TW" altLang="en-US" sz="1100"/>
              <a:t>已到位</a:t>
            </a:r>
          </a:p>
        </xdr:txBody>
      </xdr:sp>
      <xdr:cxnSp macro="">
        <xdr:nvCxnSpPr>
          <xdr:cNvPr id="41" name="直線單箭頭接點 40">
            <a:extLst>
              <a:ext uri="{FF2B5EF4-FFF2-40B4-BE49-F238E27FC236}">
                <a16:creationId xmlns:a16="http://schemas.microsoft.com/office/drawing/2014/main" id="{00000000-0008-0000-0500-000029000000}"/>
              </a:ext>
            </a:extLst>
          </xdr:cNvPr>
          <xdr:cNvCxnSpPr/>
        </xdr:nvCxnSpPr>
        <xdr:spPr>
          <a:xfrm>
            <a:off x="1743074" y="904875"/>
            <a:ext cx="2001600" cy="0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直線單箭頭接點 41">
            <a:extLst>
              <a:ext uri="{FF2B5EF4-FFF2-40B4-BE49-F238E27FC236}">
                <a16:creationId xmlns:a16="http://schemas.microsoft.com/office/drawing/2014/main" id="{00000000-0008-0000-0500-00002A000000}"/>
              </a:ext>
            </a:extLst>
          </xdr:cNvPr>
          <xdr:cNvCxnSpPr/>
        </xdr:nvCxnSpPr>
        <xdr:spPr>
          <a:xfrm rot="10800000" flipV="1">
            <a:off x="1752528" y="995084"/>
            <a:ext cx="2000250" cy="2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421005</xdr:colOff>
      <xdr:row>93</xdr:row>
      <xdr:rowOff>171450</xdr:rowOff>
    </xdr:from>
    <xdr:to>
      <xdr:col>14</xdr:col>
      <xdr:colOff>169545</xdr:colOff>
      <xdr:row>95</xdr:row>
      <xdr:rowOff>114300</xdr:rowOff>
    </xdr:to>
    <xdr:grpSp>
      <xdr:nvGrpSpPr>
        <xdr:cNvPr id="43" name="群組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GrpSpPr/>
      </xdr:nvGrpSpPr>
      <xdr:grpSpPr>
        <a:xfrm>
          <a:off x="2145030" y="18827115"/>
          <a:ext cx="7381875" cy="356235"/>
          <a:chOff x="2722245" y="403860"/>
          <a:chExt cx="7357110" cy="350520"/>
        </a:xfrm>
      </xdr:grpSpPr>
      <xdr:sp macro="" textlink="">
        <xdr:nvSpPr>
          <xdr:cNvPr id="44" name="矩形 43">
            <a:extLst>
              <a:ext uri="{FF2B5EF4-FFF2-40B4-BE49-F238E27FC236}">
                <a16:creationId xmlns:a16="http://schemas.microsoft.com/office/drawing/2014/main" id="{00000000-0008-0000-0500-00002C000000}"/>
              </a:ext>
            </a:extLst>
          </xdr:cNvPr>
          <xdr:cNvSpPr/>
        </xdr:nvSpPr>
        <xdr:spPr>
          <a:xfrm>
            <a:off x="4278630" y="403860"/>
            <a:ext cx="99441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MCS</a:t>
            </a:r>
            <a:endParaRPr lang="zh-TW" altLang="en-US" sz="1100"/>
          </a:p>
        </xdr:txBody>
      </xdr:sp>
      <xdr:sp macro="" textlink="">
        <xdr:nvSpPr>
          <xdr:cNvPr id="45" name="矩形 44">
            <a:extLst>
              <a:ext uri="{FF2B5EF4-FFF2-40B4-BE49-F238E27FC236}">
                <a16:creationId xmlns:a16="http://schemas.microsoft.com/office/drawing/2014/main" id="{00000000-0008-0000-0500-00002D000000}"/>
              </a:ext>
            </a:extLst>
          </xdr:cNvPr>
          <xdr:cNvSpPr/>
        </xdr:nvSpPr>
        <xdr:spPr>
          <a:xfrm>
            <a:off x="7355205" y="403860"/>
            <a:ext cx="96012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Lifter</a:t>
            </a:r>
          </a:p>
        </xdr:txBody>
      </xdr:sp>
      <xdr:sp macro="" textlink="">
        <xdr:nvSpPr>
          <xdr:cNvPr id="46" name="矩形 45">
            <a:extLst>
              <a:ext uri="{FF2B5EF4-FFF2-40B4-BE49-F238E27FC236}">
                <a16:creationId xmlns:a16="http://schemas.microsoft.com/office/drawing/2014/main" id="{00000000-0008-0000-0500-00002E000000}"/>
              </a:ext>
            </a:extLst>
          </xdr:cNvPr>
          <xdr:cNvSpPr/>
        </xdr:nvSpPr>
        <xdr:spPr>
          <a:xfrm>
            <a:off x="9187815" y="403860"/>
            <a:ext cx="89154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AGVC</a:t>
            </a:r>
            <a:endParaRPr lang="zh-TW" altLang="en-US" sz="1100"/>
          </a:p>
        </xdr:txBody>
      </xdr:sp>
      <xdr:sp macro="" textlink="">
        <xdr:nvSpPr>
          <xdr:cNvPr id="47" name="矩形 46">
            <a:extLst>
              <a:ext uri="{FF2B5EF4-FFF2-40B4-BE49-F238E27FC236}">
                <a16:creationId xmlns:a16="http://schemas.microsoft.com/office/drawing/2014/main" id="{00000000-0008-0000-0500-00002F000000}"/>
              </a:ext>
            </a:extLst>
          </xdr:cNvPr>
          <xdr:cNvSpPr/>
        </xdr:nvSpPr>
        <xdr:spPr>
          <a:xfrm>
            <a:off x="2722245" y="403860"/>
            <a:ext cx="891540" cy="340995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DCS</a:t>
            </a:r>
            <a:endParaRPr lang="zh-TW" altLang="en-US" sz="1100"/>
          </a:p>
        </xdr:txBody>
      </xdr:sp>
    </xdr:grpSp>
    <xdr:clientData/>
  </xdr:twoCellAnchor>
  <xdr:twoCellAnchor>
    <xdr:from>
      <xdr:col>6</xdr:col>
      <xdr:colOff>25621</xdr:colOff>
      <xdr:row>142</xdr:row>
      <xdr:rowOff>81786</xdr:rowOff>
    </xdr:from>
    <xdr:to>
      <xdr:col>13</xdr:col>
      <xdr:colOff>373379</xdr:colOff>
      <xdr:row>144</xdr:row>
      <xdr:rowOff>185507</xdr:rowOff>
    </xdr:to>
    <xdr:grpSp>
      <xdr:nvGrpSpPr>
        <xdr:cNvPr id="48" name="群組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GrpSpPr/>
      </xdr:nvGrpSpPr>
      <xdr:grpSpPr>
        <a:xfrm>
          <a:off x="4222336" y="28611066"/>
          <a:ext cx="4883563" cy="499961"/>
          <a:chOff x="1743074" y="904875"/>
          <a:chExt cx="2013859" cy="506851"/>
        </a:xfrm>
      </xdr:grpSpPr>
      <xdr:sp macro="" textlink="">
        <xdr:nvSpPr>
          <xdr:cNvPr id="49" name="文字方塊 48">
            <a:extLst>
              <a:ext uri="{FF2B5EF4-FFF2-40B4-BE49-F238E27FC236}">
                <a16:creationId xmlns:a16="http://schemas.microsoft.com/office/drawing/2014/main" id="{00000000-0008-0000-0500-000031000000}"/>
              </a:ext>
            </a:extLst>
          </xdr:cNvPr>
          <xdr:cNvSpPr txBox="1"/>
        </xdr:nvSpPr>
        <xdr:spPr>
          <a:xfrm>
            <a:off x="3068539" y="989964"/>
            <a:ext cx="688394" cy="42176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algn="r"/>
            <a:r>
              <a:rPr lang="en-US" altLang="zh-TW" sz="11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OutLifterReport()</a:t>
            </a:r>
            <a:br>
              <a:rPr lang="en-US" altLang="zh-TW" sz="1100">
                <a:solidFill>
                  <a:schemeClr val="tx1"/>
                </a:solidFill>
                <a:latin typeface="+mn-lt"/>
                <a:ea typeface="+mn-ea"/>
                <a:cs typeface="+mn-cs"/>
              </a:rPr>
            </a:br>
            <a:r>
              <a:rPr lang="en-US" altLang="zh-TW" sz="11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AGV</a:t>
            </a:r>
            <a:r>
              <a:rPr lang="zh-TW" altLang="en-US" sz="11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離開電梯後的通知</a:t>
            </a:r>
            <a:r>
              <a:rPr lang="en-US" altLang="zh-TW" sz="11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.</a:t>
            </a:r>
            <a:br>
              <a:rPr lang="en-US" altLang="zh-TW" sz="1100">
                <a:solidFill>
                  <a:schemeClr val="tx1"/>
                </a:solidFill>
                <a:latin typeface="+mn-lt"/>
                <a:ea typeface="+mn-ea"/>
                <a:cs typeface="+mn-cs"/>
              </a:rPr>
            </a:br>
            <a:endParaRPr lang="zh-TW" altLang="en-US" sz="1100"/>
          </a:p>
        </xdr:txBody>
      </xdr:sp>
      <xdr:cxnSp macro="">
        <xdr:nvCxnSpPr>
          <xdr:cNvPr id="50" name="直線單箭頭接點 49">
            <a:extLst>
              <a:ext uri="{FF2B5EF4-FFF2-40B4-BE49-F238E27FC236}">
                <a16:creationId xmlns:a16="http://schemas.microsoft.com/office/drawing/2014/main" id="{00000000-0008-0000-0500-000032000000}"/>
              </a:ext>
            </a:extLst>
          </xdr:cNvPr>
          <xdr:cNvCxnSpPr/>
        </xdr:nvCxnSpPr>
        <xdr:spPr>
          <a:xfrm>
            <a:off x="1743074" y="904875"/>
            <a:ext cx="2001600" cy="0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" name="直線單箭頭接點 50">
            <a:extLst>
              <a:ext uri="{FF2B5EF4-FFF2-40B4-BE49-F238E27FC236}">
                <a16:creationId xmlns:a16="http://schemas.microsoft.com/office/drawing/2014/main" id="{00000000-0008-0000-0500-000033000000}"/>
              </a:ext>
            </a:extLst>
          </xdr:cNvPr>
          <xdr:cNvCxnSpPr/>
        </xdr:nvCxnSpPr>
        <xdr:spPr>
          <a:xfrm rot="10800000" flipV="1">
            <a:off x="1743075" y="1000764"/>
            <a:ext cx="2000250" cy="2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607695</xdr:colOff>
      <xdr:row>102</xdr:row>
      <xdr:rowOff>91441</xdr:rowOff>
    </xdr:from>
    <xdr:to>
      <xdr:col>10</xdr:col>
      <xdr:colOff>590551</xdr:colOff>
      <xdr:row>105</xdr:row>
      <xdr:rowOff>19051</xdr:rowOff>
    </xdr:to>
    <xdr:grpSp>
      <xdr:nvGrpSpPr>
        <xdr:cNvPr id="52" name="群組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GrpSpPr/>
      </xdr:nvGrpSpPr>
      <xdr:grpSpPr>
        <a:xfrm>
          <a:off x="4189095" y="20564476"/>
          <a:ext cx="3074671" cy="520065"/>
          <a:chOff x="1743074" y="904875"/>
          <a:chExt cx="2001600" cy="512986"/>
        </a:xfrm>
      </xdr:grpSpPr>
      <xdr:sp macro="" textlink="">
        <xdr:nvSpPr>
          <xdr:cNvPr id="53" name="文字方塊 52">
            <a:extLst>
              <a:ext uri="{FF2B5EF4-FFF2-40B4-BE49-F238E27FC236}">
                <a16:creationId xmlns:a16="http://schemas.microsoft.com/office/drawing/2014/main" id="{00000000-0008-0000-0500-000035000000}"/>
              </a:ext>
            </a:extLst>
          </xdr:cNvPr>
          <xdr:cNvSpPr txBox="1"/>
        </xdr:nvSpPr>
        <xdr:spPr>
          <a:xfrm>
            <a:off x="1828799" y="981075"/>
            <a:ext cx="1838325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QueryLifterInfo</a:t>
            </a:r>
            <a:r>
              <a:rPr lang="en-US" altLang="zh-TW" sz="1100"/>
              <a:t>()</a:t>
            </a:r>
            <a:br>
              <a:rPr lang="en-US" altLang="zh-TW" sz="1100"/>
            </a:br>
            <a:r>
              <a:rPr lang="zh-TW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查詢</a:t>
            </a:r>
            <a:r>
              <a:rPr lang="en-US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Lifter Status</a:t>
            </a:r>
            <a:r>
              <a:rPr lang="en-US" altLang="zh-TW" sz="11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zh-TW" altLang="en-US" sz="11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進行二次確認</a:t>
            </a:r>
            <a:endParaRPr lang="zh-TW" altLang="zh-TW">
              <a:effectLst/>
            </a:endParaRPr>
          </a:p>
        </xdr:txBody>
      </xdr:sp>
      <xdr:cxnSp macro="">
        <xdr:nvCxnSpPr>
          <xdr:cNvPr id="54" name="直線單箭頭接點 53">
            <a:extLst>
              <a:ext uri="{FF2B5EF4-FFF2-40B4-BE49-F238E27FC236}">
                <a16:creationId xmlns:a16="http://schemas.microsoft.com/office/drawing/2014/main" id="{00000000-0008-0000-0500-000036000000}"/>
              </a:ext>
            </a:extLst>
          </xdr:cNvPr>
          <xdr:cNvCxnSpPr/>
        </xdr:nvCxnSpPr>
        <xdr:spPr>
          <a:xfrm>
            <a:off x="1743074" y="904875"/>
            <a:ext cx="2001600" cy="0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直線單箭頭接點 54">
            <a:extLst>
              <a:ext uri="{FF2B5EF4-FFF2-40B4-BE49-F238E27FC236}">
                <a16:creationId xmlns:a16="http://schemas.microsoft.com/office/drawing/2014/main" id="{00000000-0008-0000-0500-000037000000}"/>
              </a:ext>
            </a:extLst>
          </xdr:cNvPr>
          <xdr:cNvCxnSpPr/>
        </xdr:nvCxnSpPr>
        <xdr:spPr>
          <a:xfrm rot="10800000" flipV="1">
            <a:off x="1743075" y="990600"/>
            <a:ext cx="2000250" cy="2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613410</xdr:colOff>
      <xdr:row>134</xdr:row>
      <xdr:rowOff>167640</xdr:rowOff>
    </xdr:from>
    <xdr:to>
      <xdr:col>13</xdr:col>
      <xdr:colOff>339090</xdr:colOff>
      <xdr:row>137</xdr:row>
      <xdr:rowOff>45720</xdr:rowOff>
    </xdr:to>
    <xdr:grpSp>
      <xdr:nvGrpSpPr>
        <xdr:cNvPr id="56" name="群組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GrpSpPr/>
      </xdr:nvGrpSpPr>
      <xdr:grpSpPr>
        <a:xfrm>
          <a:off x="4196715" y="27098625"/>
          <a:ext cx="4876800" cy="476250"/>
          <a:chOff x="1743074" y="904875"/>
          <a:chExt cx="2001600" cy="567949"/>
        </a:xfrm>
      </xdr:grpSpPr>
      <xdr:sp macro="" textlink="">
        <xdr:nvSpPr>
          <xdr:cNvPr id="57" name="文字方塊 56">
            <a:extLst>
              <a:ext uri="{FF2B5EF4-FFF2-40B4-BE49-F238E27FC236}">
                <a16:creationId xmlns:a16="http://schemas.microsoft.com/office/drawing/2014/main" id="{00000000-0008-0000-0500-000039000000}"/>
              </a:ext>
            </a:extLst>
          </xdr:cNvPr>
          <xdr:cNvSpPr txBox="1"/>
        </xdr:nvSpPr>
        <xdr:spPr>
          <a:xfrm>
            <a:off x="1781666" y="1036038"/>
            <a:ext cx="1838325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TW" sz="1100"/>
              <a:t>LifterIsReady()</a:t>
            </a:r>
            <a:br>
              <a:rPr lang="en-US" altLang="zh-TW" sz="1100"/>
            </a:br>
            <a:r>
              <a:rPr lang="zh-TW" altLang="en-US" sz="1100"/>
              <a:t>通知</a:t>
            </a:r>
            <a:r>
              <a:rPr lang="en-US" altLang="zh-TW" sz="1100"/>
              <a:t>AGV</a:t>
            </a:r>
            <a:r>
              <a:rPr lang="zh-TW" altLang="en-US" sz="1100"/>
              <a:t>電梯已到位可進行作業。</a:t>
            </a:r>
            <a:endParaRPr lang="zh-TW" altLang="zh-TW">
              <a:effectLst/>
            </a:endParaRPr>
          </a:p>
        </xdr:txBody>
      </xdr:sp>
      <xdr:cxnSp macro="">
        <xdr:nvCxnSpPr>
          <xdr:cNvPr id="58" name="直線單箭頭接點 57">
            <a:extLst>
              <a:ext uri="{FF2B5EF4-FFF2-40B4-BE49-F238E27FC236}">
                <a16:creationId xmlns:a16="http://schemas.microsoft.com/office/drawing/2014/main" id="{00000000-0008-0000-0500-00003A000000}"/>
              </a:ext>
            </a:extLst>
          </xdr:cNvPr>
          <xdr:cNvCxnSpPr/>
        </xdr:nvCxnSpPr>
        <xdr:spPr>
          <a:xfrm>
            <a:off x="1743074" y="904875"/>
            <a:ext cx="2001600" cy="0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直線單箭頭接點 58">
            <a:extLst>
              <a:ext uri="{FF2B5EF4-FFF2-40B4-BE49-F238E27FC236}">
                <a16:creationId xmlns:a16="http://schemas.microsoft.com/office/drawing/2014/main" id="{00000000-0008-0000-0500-00003B000000}"/>
              </a:ext>
            </a:extLst>
          </xdr:cNvPr>
          <xdr:cNvCxnSpPr/>
        </xdr:nvCxnSpPr>
        <xdr:spPr>
          <a:xfrm rot="10800000" flipV="1">
            <a:off x="1743075" y="1045563"/>
            <a:ext cx="2000250" cy="2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26688</xdr:colOff>
      <xdr:row>46</xdr:row>
      <xdr:rowOff>7449</xdr:rowOff>
    </xdr:from>
    <xdr:to>
      <xdr:col>10</xdr:col>
      <xdr:colOff>598171</xdr:colOff>
      <xdr:row>65</xdr:row>
      <xdr:rowOff>21973</xdr:rowOff>
    </xdr:to>
    <xdr:grpSp>
      <xdr:nvGrpSpPr>
        <xdr:cNvPr id="60" name="群組 5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GrpSpPr/>
      </xdr:nvGrpSpPr>
      <xdr:grpSpPr>
        <a:xfrm>
          <a:off x="4225308" y="9258129"/>
          <a:ext cx="3047983" cy="3809284"/>
          <a:chOff x="9620492" y="5172579"/>
          <a:chExt cx="2563889" cy="4347614"/>
        </a:xfrm>
      </xdr:grpSpPr>
      <xdr:grpSp>
        <xdr:nvGrpSpPr>
          <xdr:cNvPr id="61" name="群組 60">
            <a:extLst>
              <a:ext uri="{FF2B5EF4-FFF2-40B4-BE49-F238E27FC236}">
                <a16:creationId xmlns:a16="http://schemas.microsoft.com/office/drawing/2014/main" id="{00000000-0008-0000-0500-00003D000000}"/>
              </a:ext>
            </a:extLst>
          </xdr:cNvPr>
          <xdr:cNvGrpSpPr/>
        </xdr:nvGrpSpPr>
        <xdr:grpSpPr>
          <a:xfrm>
            <a:off x="9685505" y="5887383"/>
            <a:ext cx="2414759" cy="680579"/>
            <a:chOff x="5238750" y="2085975"/>
            <a:chExt cx="3430351" cy="577422"/>
          </a:xfrm>
        </xdr:grpSpPr>
        <xdr:sp macro="" textlink="">
          <xdr:nvSpPr>
            <xdr:cNvPr id="82" name="文字方塊 81">
              <a:extLst>
                <a:ext uri="{FF2B5EF4-FFF2-40B4-BE49-F238E27FC236}">
                  <a16:creationId xmlns:a16="http://schemas.microsoft.com/office/drawing/2014/main" id="{00000000-0008-0000-0500-000052000000}"/>
                </a:ext>
              </a:extLst>
            </xdr:cNvPr>
            <xdr:cNvSpPr txBox="1"/>
          </xdr:nvSpPr>
          <xdr:spPr>
            <a:xfrm>
              <a:off x="5353050" y="2216067"/>
              <a:ext cx="3267075" cy="4473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noAutofit/>
            </a:bodyPr>
            <a:lstStyle/>
            <a:p>
              <a:r>
                <a:rPr lang="en-US" altLang="zh-TW" sz="1100"/>
                <a:t>LifterMoveRequest()</a:t>
              </a:r>
              <a:br>
                <a:rPr lang="en-US" altLang="zh-TW" sz="1100"/>
              </a:br>
              <a:r>
                <a:rPr lang="zh-TW" altLang="en-US" sz="1100"/>
                <a:t>電梯指令下達</a:t>
              </a:r>
            </a:p>
          </xdr:txBody>
        </xdr:sp>
        <xdr:cxnSp macro="">
          <xdr:nvCxnSpPr>
            <xdr:cNvPr id="83" name="直線單箭頭接點 82">
              <a:extLst>
                <a:ext uri="{FF2B5EF4-FFF2-40B4-BE49-F238E27FC236}">
                  <a16:creationId xmlns:a16="http://schemas.microsoft.com/office/drawing/2014/main" id="{00000000-0008-0000-0500-000053000000}"/>
                </a:ext>
              </a:extLst>
            </xdr:cNvPr>
            <xdr:cNvCxnSpPr/>
          </xdr:nvCxnSpPr>
          <xdr:spPr>
            <a:xfrm>
              <a:off x="5238750" y="2085975"/>
              <a:ext cx="3430350" cy="0"/>
            </a:xfrm>
            <a:prstGeom prst="straightConnector1">
              <a:avLst/>
            </a:prstGeom>
            <a:ln w="15875"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4" name="直線單箭頭接點 83">
              <a:extLst>
                <a:ext uri="{FF2B5EF4-FFF2-40B4-BE49-F238E27FC236}">
                  <a16:creationId xmlns:a16="http://schemas.microsoft.com/office/drawing/2014/main" id="{00000000-0008-0000-0500-000054000000}"/>
                </a:ext>
              </a:extLst>
            </xdr:cNvPr>
            <xdr:cNvCxnSpPr/>
          </xdr:nvCxnSpPr>
          <xdr:spPr>
            <a:xfrm rot="10800000" flipV="1">
              <a:off x="5238751" y="2171700"/>
              <a:ext cx="3430350" cy="2"/>
            </a:xfrm>
            <a:prstGeom prst="straightConnector1">
              <a:avLst/>
            </a:prstGeom>
            <a:ln w="15875"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2" name="群組 61">
            <a:extLst>
              <a:ext uri="{FF2B5EF4-FFF2-40B4-BE49-F238E27FC236}">
                <a16:creationId xmlns:a16="http://schemas.microsoft.com/office/drawing/2014/main" id="{00000000-0008-0000-0500-00003E000000}"/>
              </a:ext>
            </a:extLst>
          </xdr:cNvPr>
          <xdr:cNvGrpSpPr/>
        </xdr:nvGrpSpPr>
        <xdr:grpSpPr>
          <a:xfrm>
            <a:off x="9654782" y="7613784"/>
            <a:ext cx="2471595" cy="569159"/>
            <a:chOff x="1743074" y="904875"/>
            <a:chExt cx="2001600" cy="303493"/>
          </a:xfrm>
        </xdr:grpSpPr>
        <xdr:sp macro="" textlink="">
          <xdr:nvSpPr>
            <xdr:cNvPr id="79" name="文字方塊 78">
              <a:extLst>
                <a:ext uri="{FF2B5EF4-FFF2-40B4-BE49-F238E27FC236}">
                  <a16:creationId xmlns:a16="http://schemas.microsoft.com/office/drawing/2014/main" id="{00000000-0008-0000-0500-00004F000000}"/>
                </a:ext>
              </a:extLst>
            </xdr:cNvPr>
            <xdr:cNvSpPr txBox="1"/>
          </xdr:nvSpPr>
          <xdr:spPr>
            <a:xfrm>
              <a:off x="1775659" y="943615"/>
              <a:ext cx="1838325" cy="2647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TW" sz="1100"/>
                <a:t>LifterStatusReport()</a:t>
              </a:r>
              <a:br>
                <a:rPr lang="en-US" altLang="zh-TW" sz="1100"/>
              </a:br>
              <a:r>
                <a:rPr lang="zh-TW" altLang="zh-TW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目標樓層移動</a:t>
              </a:r>
              <a:r>
                <a:rPr lang="zh-TW" alt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狀態報告</a:t>
              </a:r>
              <a:endParaRPr lang="zh-TW" altLang="en-US" sz="1100"/>
            </a:p>
          </xdr:txBody>
        </xdr:sp>
        <xdr:cxnSp macro="">
          <xdr:nvCxnSpPr>
            <xdr:cNvPr id="80" name="直線單箭頭接點 79">
              <a:extLst>
                <a:ext uri="{FF2B5EF4-FFF2-40B4-BE49-F238E27FC236}">
                  <a16:creationId xmlns:a16="http://schemas.microsoft.com/office/drawing/2014/main" id="{00000000-0008-0000-0500-000050000000}"/>
                </a:ext>
              </a:extLst>
            </xdr:cNvPr>
            <xdr:cNvCxnSpPr/>
          </xdr:nvCxnSpPr>
          <xdr:spPr>
            <a:xfrm>
              <a:off x="1743074" y="904875"/>
              <a:ext cx="2001600" cy="0"/>
            </a:xfrm>
            <a:prstGeom prst="straightConnector1">
              <a:avLst/>
            </a:prstGeom>
            <a:ln w="15875">
              <a:headEnd type="triangl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1" name="直線單箭頭接點 80">
              <a:extLst>
                <a:ext uri="{FF2B5EF4-FFF2-40B4-BE49-F238E27FC236}">
                  <a16:creationId xmlns:a16="http://schemas.microsoft.com/office/drawing/2014/main" id="{00000000-0008-0000-0500-000051000000}"/>
                </a:ext>
              </a:extLst>
            </xdr:cNvPr>
            <xdr:cNvCxnSpPr/>
          </xdr:nvCxnSpPr>
          <xdr:spPr>
            <a:xfrm rot="10800000" flipV="1">
              <a:off x="1743075" y="953139"/>
              <a:ext cx="2000250" cy="2"/>
            </a:xfrm>
            <a:prstGeom prst="straightConnector1">
              <a:avLst/>
            </a:prstGeom>
            <a:ln w="15875">
              <a:headEnd type="triangl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3" name="群組 62">
            <a:extLst>
              <a:ext uri="{FF2B5EF4-FFF2-40B4-BE49-F238E27FC236}">
                <a16:creationId xmlns:a16="http://schemas.microsoft.com/office/drawing/2014/main" id="{00000000-0008-0000-0500-00003F000000}"/>
              </a:ext>
            </a:extLst>
          </xdr:cNvPr>
          <xdr:cNvGrpSpPr/>
        </xdr:nvGrpSpPr>
        <xdr:grpSpPr>
          <a:xfrm>
            <a:off x="9685504" y="6658706"/>
            <a:ext cx="2440873" cy="676041"/>
            <a:chOff x="1743074" y="904875"/>
            <a:chExt cx="2001600" cy="321852"/>
          </a:xfrm>
        </xdr:grpSpPr>
        <xdr:sp macro="" textlink="">
          <xdr:nvSpPr>
            <xdr:cNvPr id="76" name="文字方塊 75">
              <a:extLst>
                <a:ext uri="{FF2B5EF4-FFF2-40B4-BE49-F238E27FC236}">
                  <a16:creationId xmlns:a16="http://schemas.microsoft.com/office/drawing/2014/main" id="{00000000-0008-0000-0500-00004C000000}"/>
                </a:ext>
              </a:extLst>
            </xdr:cNvPr>
            <xdr:cNvSpPr txBox="1"/>
          </xdr:nvSpPr>
          <xdr:spPr>
            <a:xfrm>
              <a:off x="1775659" y="943614"/>
              <a:ext cx="1838325" cy="283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TW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LifterMoveTaskReport</a:t>
              </a:r>
              <a:r>
                <a:rPr lang="en-US" altLang="zh-TW" sz="1100"/>
                <a:t>()</a:t>
              </a:r>
              <a:br>
                <a:rPr lang="en-US" altLang="zh-TW" sz="1100"/>
              </a:br>
              <a:r>
                <a:rPr lang="zh-TW" altLang="zh-TW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自動關門</a:t>
              </a:r>
              <a:r>
                <a:rPr lang="zh-TW" alt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後上報</a:t>
              </a:r>
              <a:endParaRPr lang="zh-TW" altLang="zh-TW">
                <a:effectLst/>
              </a:endParaRPr>
            </a:p>
            <a:p>
              <a:r>
                <a:rPr lang="en-US" altLang="zh-TW" sz="1100"/>
                <a:t>Move</a:t>
              </a:r>
              <a:r>
                <a:rPr lang="en-US" altLang="zh-TW" sz="1100" baseline="0"/>
                <a:t> </a:t>
              </a:r>
              <a:r>
                <a:rPr lang="zh-TW" altLang="en-US" sz="1100" baseline="0"/>
                <a:t>任務</a:t>
              </a:r>
              <a:r>
                <a:rPr lang="zh-TW" altLang="en-US" sz="1100"/>
                <a:t>狀態回報</a:t>
              </a:r>
              <a:r>
                <a:rPr lang="en-US" altLang="zh-TW" sz="1100"/>
                <a:t>Task "START".</a:t>
              </a:r>
              <a:endParaRPr lang="zh-TW" altLang="en-US" sz="1100"/>
            </a:p>
          </xdr:txBody>
        </xdr:sp>
        <xdr:cxnSp macro="">
          <xdr:nvCxnSpPr>
            <xdr:cNvPr id="77" name="直線單箭頭接點 76">
              <a:extLst>
                <a:ext uri="{FF2B5EF4-FFF2-40B4-BE49-F238E27FC236}">
                  <a16:creationId xmlns:a16="http://schemas.microsoft.com/office/drawing/2014/main" id="{00000000-0008-0000-0500-00004D000000}"/>
                </a:ext>
              </a:extLst>
            </xdr:cNvPr>
            <xdr:cNvCxnSpPr/>
          </xdr:nvCxnSpPr>
          <xdr:spPr>
            <a:xfrm>
              <a:off x="1743074" y="904875"/>
              <a:ext cx="2001600" cy="0"/>
            </a:xfrm>
            <a:prstGeom prst="straightConnector1">
              <a:avLst/>
            </a:prstGeom>
            <a:ln w="15875">
              <a:headEnd type="triangl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直線單箭頭接點 77">
              <a:extLst>
                <a:ext uri="{FF2B5EF4-FFF2-40B4-BE49-F238E27FC236}">
                  <a16:creationId xmlns:a16="http://schemas.microsoft.com/office/drawing/2014/main" id="{00000000-0008-0000-0500-00004E000000}"/>
                </a:ext>
              </a:extLst>
            </xdr:cNvPr>
            <xdr:cNvCxnSpPr/>
          </xdr:nvCxnSpPr>
          <xdr:spPr>
            <a:xfrm rot="10800000" flipV="1">
              <a:off x="1743075" y="953139"/>
              <a:ext cx="2000250" cy="2"/>
            </a:xfrm>
            <a:prstGeom prst="straightConnector1">
              <a:avLst/>
            </a:prstGeom>
            <a:ln w="15875">
              <a:headEnd type="triangl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4" name="群組 63">
            <a:extLst>
              <a:ext uri="{FF2B5EF4-FFF2-40B4-BE49-F238E27FC236}">
                <a16:creationId xmlns:a16="http://schemas.microsoft.com/office/drawing/2014/main" id="{00000000-0008-0000-0500-000040000000}"/>
              </a:ext>
            </a:extLst>
          </xdr:cNvPr>
          <xdr:cNvGrpSpPr/>
        </xdr:nvGrpSpPr>
        <xdr:grpSpPr>
          <a:xfrm>
            <a:off x="9620492" y="8973483"/>
            <a:ext cx="2563887" cy="546710"/>
            <a:chOff x="1743074" y="904875"/>
            <a:chExt cx="2001600" cy="228447"/>
          </a:xfrm>
        </xdr:grpSpPr>
        <xdr:sp macro="" textlink="">
          <xdr:nvSpPr>
            <xdr:cNvPr id="73" name="文字方塊 72">
              <a:extLst>
                <a:ext uri="{FF2B5EF4-FFF2-40B4-BE49-F238E27FC236}">
                  <a16:creationId xmlns:a16="http://schemas.microsoft.com/office/drawing/2014/main" id="{00000000-0008-0000-0500-000049000000}"/>
                </a:ext>
              </a:extLst>
            </xdr:cNvPr>
            <xdr:cNvSpPr txBox="1"/>
          </xdr:nvSpPr>
          <xdr:spPr>
            <a:xfrm>
              <a:off x="1775659" y="943615"/>
              <a:ext cx="1838325" cy="1897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TW" sz="1100"/>
                <a:t>LifterLockRequest()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zh-TW" altLang="en-US" sz="1100"/>
                <a:t>鎖定電梯及開門</a:t>
              </a:r>
            </a:p>
          </xdr:txBody>
        </xdr:sp>
        <xdr:cxnSp macro="">
          <xdr:nvCxnSpPr>
            <xdr:cNvPr id="74" name="直線單箭頭接點 73">
              <a:extLst>
                <a:ext uri="{FF2B5EF4-FFF2-40B4-BE49-F238E27FC236}">
                  <a16:creationId xmlns:a16="http://schemas.microsoft.com/office/drawing/2014/main" id="{00000000-0008-0000-0500-00004A000000}"/>
                </a:ext>
              </a:extLst>
            </xdr:cNvPr>
            <xdr:cNvCxnSpPr/>
          </xdr:nvCxnSpPr>
          <xdr:spPr>
            <a:xfrm>
              <a:off x="1743074" y="904875"/>
              <a:ext cx="2001600" cy="0"/>
            </a:xfrm>
            <a:prstGeom prst="straightConnector1">
              <a:avLst/>
            </a:prstGeom>
            <a:ln w="15875">
              <a:headEnd type="triangl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5" name="直線單箭頭接點 74">
              <a:extLst>
                <a:ext uri="{FF2B5EF4-FFF2-40B4-BE49-F238E27FC236}">
                  <a16:creationId xmlns:a16="http://schemas.microsoft.com/office/drawing/2014/main" id="{00000000-0008-0000-0500-00004B000000}"/>
                </a:ext>
              </a:extLst>
            </xdr:cNvPr>
            <xdr:cNvCxnSpPr/>
          </xdr:nvCxnSpPr>
          <xdr:spPr>
            <a:xfrm rot="10800000" flipV="1">
              <a:off x="1743075" y="946053"/>
              <a:ext cx="2000250" cy="2"/>
            </a:xfrm>
            <a:prstGeom prst="straightConnector1">
              <a:avLst/>
            </a:prstGeom>
            <a:ln w="15875">
              <a:headEnd type="triangl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5" name="群組 64">
            <a:extLst>
              <a:ext uri="{FF2B5EF4-FFF2-40B4-BE49-F238E27FC236}">
                <a16:creationId xmlns:a16="http://schemas.microsoft.com/office/drawing/2014/main" id="{00000000-0008-0000-0500-000041000000}"/>
              </a:ext>
            </a:extLst>
          </xdr:cNvPr>
          <xdr:cNvGrpSpPr/>
        </xdr:nvGrpSpPr>
        <xdr:grpSpPr>
          <a:xfrm>
            <a:off x="9644078" y="5172579"/>
            <a:ext cx="2519830" cy="577423"/>
            <a:chOff x="5221254" y="2585694"/>
            <a:chExt cx="3430351" cy="577423"/>
          </a:xfrm>
        </xdr:grpSpPr>
        <xdr:sp macro="" textlink="">
          <xdr:nvSpPr>
            <xdr:cNvPr id="70" name="文字方塊 69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 txBox="1"/>
          </xdr:nvSpPr>
          <xdr:spPr>
            <a:xfrm>
              <a:off x="5335556" y="2715788"/>
              <a:ext cx="3267075" cy="4473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noAutofit/>
            </a:bodyPr>
            <a:lstStyle/>
            <a:p>
              <a:r>
                <a:rPr lang="en-US" altLang="zh-TW" sz="1100"/>
                <a:t>LifterUnlockRequest()</a:t>
              </a:r>
              <a:br>
                <a:rPr lang="en-US" altLang="zh-TW" sz="1100"/>
              </a:br>
              <a:r>
                <a:rPr lang="zh-TW" altLang="en-US" sz="1100"/>
                <a:t>解鎖電梯</a:t>
              </a:r>
            </a:p>
          </xdr:txBody>
        </xdr:sp>
        <xdr:cxnSp macro="">
          <xdr:nvCxnSpPr>
            <xdr:cNvPr id="71" name="直線單箭頭接點 70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CxnSpPr/>
          </xdr:nvCxnSpPr>
          <xdr:spPr>
            <a:xfrm>
              <a:off x="5221254" y="2585694"/>
              <a:ext cx="3430350" cy="0"/>
            </a:xfrm>
            <a:prstGeom prst="straightConnector1">
              <a:avLst/>
            </a:prstGeom>
            <a:ln w="15875"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" name="直線單箭頭接點 71">
              <a:extLst>
                <a:ext uri="{FF2B5EF4-FFF2-40B4-BE49-F238E27FC236}">
                  <a16:creationId xmlns:a16="http://schemas.microsoft.com/office/drawing/2014/main" id="{00000000-0008-0000-0500-000048000000}"/>
                </a:ext>
              </a:extLst>
            </xdr:cNvPr>
            <xdr:cNvCxnSpPr/>
          </xdr:nvCxnSpPr>
          <xdr:spPr>
            <a:xfrm rot="10800000" flipV="1">
              <a:off x="5221255" y="2671419"/>
              <a:ext cx="3430350" cy="2"/>
            </a:xfrm>
            <a:prstGeom prst="straightConnector1">
              <a:avLst/>
            </a:prstGeom>
            <a:ln w="15875"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6" name="群組 65">
            <a:extLst>
              <a:ext uri="{FF2B5EF4-FFF2-40B4-BE49-F238E27FC236}">
                <a16:creationId xmlns:a16="http://schemas.microsoft.com/office/drawing/2014/main" id="{00000000-0008-0000-0500-000042000000}"/>
              </a:ext>
            </a:extLst>
          </xdr:cNvPr>
          <xdr:cNvGrpSpPr/>
        </xdr:nvGrpSpPr>
        <xdr:grpSpPr>
          <a:xfrm>
            <a:off x="9624061" y="8282940"/>
            <a:ext cx="2560320" cy="567689"/>
            <a:chOff x="1743074" y="904875"/>
            <a:chExt cx="2001600" cy="321852"/>
          </a:xfrm>
        </xdr:grpSpPr>
        <xdr:sp macro="" textlink="">
          <xdr:nvSpPr>
            <xdr:cNvPr id="67" name="文字方塊 66">
              <a:extLst>
                <a:ext uri="{FF2B5EF4-FFF2-40B4-BE49-F238E27FC236}">
                  <a16:creationId xmlns:a16="http://schemas.microsoft.com/office/drawing/2014/main" id="{00000000-0008-0000-0500-000043000000}"/>
                </a:ext>
              </a:extLst>
            </xdr:cNvPr>
            <xdr:cNvSpPr txBox="1"/>
          </xdr:nvSpPr>
          <xdr:spPr>
            <a:xfrm>
              <a:off x="1775659" y="943614"/>
              <a:ext cx="1838325" cy="283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TW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LifterMoveTaskReport</a:t>
              </a:r>
              <a:r>
                <a:rPr lang="en-US" altLang="zh-TW" sz="1100"/>
                <a:t>()</a:t>
              </a:r>
              <a:br>
                <a:rPr lang="en-US" altLang="zh-TW" sz="1100"/>
              </a:br>
              <a:r>
                <a:rPr lang="en-US" altLang="zh-TW" sz="1100"/>
                <a:t>Move</a:t>
              </a:r>
              <a:r>
                <a:rPr lang="en-US" altLang="zh-TW" sz="1100" baseline="0"/>
                <a:t> </a:t>
              </a:r>
              <a:r>
                <a:rPr lang="zh-TW" altLang="en-US" sz="1100" baseline="0"/>
                <a:t>任務</a:t>
              </a:r>
              <a:r>
                <a:rPr lang="zh-TW" altLang="en-US" sz="1100"/>
                <a:t>狀態回報</a:t>
              </a:r>
              <a:r>
                <a:rPr lang="en-US" altLang="zh-TW" sz="1100"/>
                <a:t>Task "END"</a:t>
              </a:r>
              <a:r>
                <a:rPr lang="zh-TW" altLang="en-US" sz="1100"/>
                <a:t>、</a:t>
              </a:r>
            </a:p>
          </xdr:txBody>
        </xdr:sp>
        <xdr:cxnSp macro="">
          <xdr:nvCxnSpPr>
            <xdr:cNvPr id="68" name="直線單箭頭接點 67">
              <a:extLst>
                <a:ext uri="{FF2B5EF4-FFF2-40B4-BE49-F238E27FC236}">
                  <a16:creationId xmlns:a16="http://schemas.microsoft.com/office/drawing/2014/main" id="{00000000-0008-0000-0500-000044000000}"/>
                </a:ext>
              </a:extLst>
            </xdr:cNvPr>
            <xdr:cNvCxnSpPr/>
          </xdr:nvCxnSpPr>
          <xdr:spPr>
            <a:xfrm>
              <a:off x="1743074" y="904875"/>
              <a:ext cx="2001600" cy="0"/>
            </a:xfrm>
            <a:prstGeom prst="straightConnector1">
              <a:avLst/>
            </a:prstGeom>
            <a:ln w="15875">
              <a:headEnd type="triangl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9" name="直線單箭頭接點 68">
              <a:extLst>
                <a:ext uri="{FF2B5EF4-FFF2-40B4-BE49-F238E27FC236}">
                  <a16:creationId xmlns:a16="http://schemas.microsoft.com/office/drawing/2014/main" id="{00000000-0008-0000-0500-000045000000}"/>
                </a:ext>
              </a:extLst>
            </xdr:cNvPr>
            <xdr:cNvCxnSpPr/>
          </xdr:nvCxnSpPr>
          <xdr:spPr>
            <a:xfrm rot="10800000" flipV="1">
              <a:off x="1743075" y="963080"/>
              <a:ext cx="2000250" cy="2"/>
            </a:xfrm>
            <a:prstGeom prst="straightConnector1">
              <a:avLst/>
            </a:prstGeom>
            <a:ln w="15875">
              <a:headEnd type="triangl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6</xdr:col>
      <xdr:colOff>5759</xdr:colOff>
      <xdr:row>107</xdr:row>
      <xdr:rowOff>128722</xdr:rowOff>
    </xdr:from>
    <xdr:to>
      <xdr:col>10</xdr:col>
      <xdr:colOff>581023</xdr:colOff>
      <xdr:row>126</xdr:row>
      <xdr:rowOff>149016</xdr:rowOff>
    </xdr:to>
    <xdr:grpSp>
      <xdr:nvGrpSpPr>
        <xdr:cNvPr id="85" name="群組 84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GrpSpPr/>
      </xdr:nvGrpSpPr>
      <xdr:grpSpPr>
        <a:xfrm>
          <a:off x="4208189" y="21611407"/>
          <a:ext cx="3051764" cy="3816959"/>
          <a:chOff x="9620492" y="5045521"/>
          <a:chExt cx="2563889" cy="4474672"/>
        </a:xfrm>
      </xdr:grpSpPr>
      <xdr:grpSp>
        <xdr:nvGrpSpPr>
          <xdr:cNvPr id="86" name="群組 85">
            <a:extLst>
              <a:ext uri="{FF2B5EF4-FFF2-40B4-BE49-F238E27FC236}">
                <a16:creationId xmlns:a16="http://schemas.microsoft.com/office/drawing/2014/main" id="{00000000-0008-0000-0500-000056000000}"/>
              </a:ext>
            </a:extLst>
          </xdr:cNvPr>
          <xdr:cNvGrpSpPr/>
        </xdr:nvGrpSpPr>
        <xdr:grpSpPr>
          <a:xfrm>
            <a:off x="9685505" y="5887383"/>
            <a:ext cx="2414759" cy="680579"/>
            <a:chOff x="5238750" y="2085975"/>
            <a:chExt cx="3430351" cy="577422"/>
          </a:xfrm>
        </xdr:grpSpPr>
        <xdr:sp macro="" textlink="">
          <xdr:nvSpPr>
            <xdr:cNvPr id="107" name="文字方塊 106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 txBox="1"/>
          </xdr:nvSpPr>
          <xdr:spPr>
            <a:xfrm>
              <a:off x="5353050" y="2216067"/>
              <a:ext cx="3267075" cy="4473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noAutofit/>
            </a:bodyPr>
            <a:lstStyle/>
            <a:p>
              <a:r>
                <a:rPr lang="en-US" altLang="zh-TW" sz="1100"/>
                <a:t>LifterMoveRequest()</a:t>
              </a:r>
              <a:br>
                <a:rPr lang="en-US" altLang="zh-TW" sz="1100"/>
              </a:br>
              <a:r>
                <a:rPr lang="zh-TW" altLang="en-US" sz="1100"/>
                <a:t>電梯指令下達</a:t>
              </a:r>
            </a:p>
          </xdr:txBody>
        </xdr:sp>
        <xdr:cxnSp macro="">
          <xdr:nvCxnSpPr>
            <xdr:cNvPr id="108" name="直線單箭頭接點 107">
              <a:extLst>
                <a:ext uri="{FF2B5EF4-FFF2-40B4-BE49-F238E27FC236}">
                  <a16:creationId xmlns:a16="http://schemas.microsoft.com/office/drawing/2014/main" id="{00000000-0008-0000-0500-00006C000000}"/>
                </a:ext>
              </a:extLst>
            </xdr:cNvPr>
            <xdr:cNvCxnSpPr/>
          </xdr:nvCxnSpPr>
          <xdr:spPr>
            <a:xfrm>
              <a:off x="5238750" y="2085975"/>
              <a:ext cx="3430350" cy="0"/>
            </a:xfrm>
            <a:prstGeom prst="straightConnector1">
              <a:avLst/>
            </a:prstGeom>
            <a:ln w="15875"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9" name="直線單箭頭接點 108">
              <a:extLst>
                <a:ext uri="{FF2B5EF4-FFF2-40B4-BE49-F238E27FC236}">
                  <a16:creationId xmlns:a16="http://schemas.microsoft.com/office/drawing/2014/main" id="{00000000-0008-0000-0500-00006D000000}"/>
                </a:ext>
              </a:extLst>
            </xdr:cNvPr>
            <xdr:cNvCxnSpPr/>
          </xdr:nvCxnSpPr>
          <xdr:spPr>
            <a:xfrm rot="10800000" flipV="1">
              <a:off x="5238751" y="2171700"/>
              <a:ext cx="3430350" cy="2"/>
            </a:xfrm>
            <a:prstGeom prst="straightConnector1">
              <a:avLst/>
            </a:prstGeom>
            <a:ln w="15875"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7" name="群組 86">
            <a:extLst>
              <a:ext uri="{FF2B5EF4-FFF2-40B4-BE49-F238E27FC236}">
                <a16:creationId xmlns:a16="http://schemas.microsoft.com/office/drawing/2014/main" id="{00000000-0008-0000-0500-000057000000}"/>
              </a:ext>
            </a:extLst>
          </xdr:cNvPr>
          <xdr:cNvGrpSpPr/>
        </xdr:nvGrpSpPr>
        <xdr:grpSpPr>
          <a:xfrm>
            <a:off x="9654782" y="7613784"/>
            <a:ext cx="2471595" cy="569159"/>
            <a:chOff x="1743074" y="904875"/>
            <a:chExt cx="2001600" cy="303493"/>
          </a:xfrm>
        </xdr:grpSpPr>
        <xdr:sp macro="" textlink="">
          <xdr:nvSpPr>
            <xdr:cNvPr id="104" name="文字方塊 103">
              <a:extLst>
                <a:ext uri="{FF2B5EF4-FFF2-40B4-BE49-F238E27FC236}">
                  <a16:creationId xmlns:a16="http://schemas.microsoft.com/office/drawing/2014/main" id="{00000000-0008-0000-0500-000068000000}"/>
                </a:ext>
              </a:extLst>
            </xdr:cNvPr>
            <xdr:cNvSpPr txBox="1"/>
          </xdr:nvSpPr>
          <xdr:spPr>
            <a:xfrm>
              <a:off x="1775659" y="943615"/>
              <a:ext cx="1838325" cy="2647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TW" sz="1100"/>
                <a:t>LifterStatusReport()</a:t>
              </a:r>
              <a:br>
                <a:rPr lang="en-US" altLang="zh-TW" sz="1100"/>
              </a:br>
              <a:r>
                <a:rPr lang="zh-TW" altLang="zh-TW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目標樓層移動</a:t>
              </a:r>
              <a:r>
                <a:rPr lang="zh-TW" alt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狀態報告</a:t>
              </a:r>
              <a:endParaRPr lang="zh-TW" altLang="en-US" sz="1100"/>
            </a:p>
          </xdr:txBody>
        </xdr:sp>
        <xdr:cxnSp macro="">
          <xdr:nvCxnSpPr>
            <xdr:cNvPr id="105" name="直線單箭頭接點 104">
              <a:extLst>
                <a:ext uri="{FF2B5EF4-FFF2-40B4-BE49-F238E27FC236}">
                  <a16:creationId xmlns:a16="http://schemas.microsoft.com/office/drawing/2014/main" id="{00000000-0008-0000-0500-000069000000}"/>
                </a:ext>
              </a:extLst>
            </xdr:cNvPr>
            <xdr:cNvCxnSpPr/>
          </xdr:nvCxnSpPr>
          <xdr:spPr>
            <a:xfrm>
              <a:off x="1743074" y="904875"/>
              <a:ext cx="2001600" cy="0"/>
            </a:xfrm>
            <a:prstGeom prst="straightConnector1">
              <a:avLst/>
            </a:prstGeom>
            <a:ln w="15875">
              <a:headEnd type="triangl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6" name="直線單箭頭接點 105">
              <a:extLst>
                <a:ext uri="{FF2B5EF4-FFF2-40B4-BE49-F238E27FC236}">
                  <a16:creationId xmlns:a16="http://schemas.microsoft.com/office/drawing/2014/main" id="{00000000-0008-0000-0500-00006A000000}"/>
                </a:ext>
              </a:extLst>
            </xdr:cNvPr>
            <xdr:cNvCxnSpPr/>
          </xdr:nvCxnSpPr>
          <xdr:spPr>
            <a:xfrm rot="10800000" flipV="1">
              <a:off x="1743075" y="953139"/>
              <a:ext cx="2000250" cy="2"/>
            </a:xfrm>
            <a:prstGeom prst="straightConnector1">
              <a:avLst/>
            </a:prstGeom>
            <a:ln w="15875">
              <a:headEnd type="triangl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8" name="群組 87">
            <a:extLst>
              <a:ext uri="{FF2B5EF4-FFF2-40B4-BE49-F238E27FC236}">
                <a16:creationId xmlns:a16="http://schemas.microsoft.com/office/drawing/2014/main" id="{00000000-0008-0000-0500-000058000000}"/>
              </a:ext>
            </a:extLst>
          </xdr:cNvPr>
          <xdr:cNvGrpSpPr/>
        </xdr:nvGrpSpPr>
        <xdr:grpSpPr>
          <a:xfrm>
            <a:off x="9685504" y="6658706"/>
            <a:ext cx="2440873" cy="676041"/>
            <a:chOff x="1743074" y="904875"/>
            <a:chExt cx="2001600" cy="321852"/>
          </a:xfrm>
        </xdr:grpSpPr>
        <xdr:sp macro="" textlink="">
          <xdr:nvSpPr>
            <xdr:cNvPr id="101" name="文字方塊 100">
              <a:extLst>
                <a:ext uri="{FF2B5EF4-FFF2-40B4-BE49-F238E27FC236}">
                  <a16:creationId xmlns:a16="http://schemas.microsoft.com/office/drawing/2014/main" id="{00000000-0008-0000-0500-000065000000}"/>
                </a:ext>
              </a:extLst>
            </xdr:cNvPr>
            <xdr:cNvSpPr txBox="1"/>
          </xdr:nvSpPr>
          <xdr:spPr>
            <a:xfrm>
              <a:off x="1775659" y="943614"/>
              <a:ext cx="1838325" cy="283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TW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LifterMoveTaskReport</a:t>
              </a:r>
              <a:r>
                <a:rPr lang="en-US" altLang="zh-TW" sz="1100"/>
                <a:t>()</a:t>
              </a:r>
              <a:br>
                <a:rPr lang="en-US" altLang="zh-TW" sz="1100"/>
              </a:br>
              <a:r>
                <a:rPr lang="zh-TW" altLang="zh-TW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自動關門</a:t>
              </a:r>
              <a:r>
                <a:rPr lang="zh-TW" alt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後上報</a:t>
              </a:r>
              <a:endParaRPr lang="zh-TW" altLang="zh-TW">
                <a:effectLst/>
              </a:endParaRPr>
            </a:p>
            <a:p>
              <a:r>
                <a:rPr lang="en-US" altLang="zh-TW" sz="1100"/>
                <a:t>Move</a:t>
              </a:r>
              <a:r>
                <a:rPr lang="en-US" altLang="zh-TW" sz="1100" baseline="0"/>
                <a:t> </a:t>
              </a:r>
              <a:r>
                <a:rPr lang="zh-TW" altLang="en-US" sz="1100" baseline="0"/>
                <a:t>任務</a:t>
              </a:r>
              <a:r>
                <a:rPr lang="zh-TW" altLang="en-US" sz="1100"/>
                <a:t>狀態回報</a:t>
              </a:r>
              <a:r>
                <a:rPr lang="en-US" altLang="zh-TW" sz="1100"/>
                <a:t>Task</a:t>
              </a:r>
              <a:r>
                <a:rPr lang="en-US" altLang="zh-TW" sz="1100" baseline="0"/>
                <a:t> </a:t>
              </a:r>
              <a:r>
                <a:rPr lang="en-US" altLang="zh-TW" sz="1100"/>
                <a:t>"START".</a:t>
              </a:r>
              <a:endParaRPr lang="zh-TW" altLang="en-US" sz="1100"/>
            </a:p>
          </xdr:txBody>
        </xdr:sp>
        <xdr:cxnSp macro="">
          <xdr:nvCxnSpPr>
            <xdr:cNvPr id="102" name="直線單箭頭接點 101">
              <a:extLst>
                <a:ext uri="{FF2B5EF4-FFF2-40B4-BE49-F238E27FC236}">
                  <a16:creationId xmlns:a16="http://schemas.microsoft.com/office/drawing/2014/main" id="{00000000-0008-0000-0500-000066000000}"/>
                </a:ext>
              </a:extLst>
            </xdr:cNvPr>
            <xdr:cNvCxnSpPr/>
          </xdr:nvCxnSpPr>
          <xdr:spPr>
            <a:xfrm>
              <a:off x="1743074" y="904875"/>
              <a:ext cx="2001600" cy="0"/>
            </a:xfrm>
            <a:prstGeom prst="straightConnector1">
              <a:avLst/>
            </a:prstGeom>
            <a:ln w="15875">
              <a:headEnd type="triangl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3" name="直線單箭頭接點 102">
              <a:extLst>
                <a:ext uri="{FF2B5EF4-FFF2-40B4-BE49-F238E27FC236}">
                  <a16:creationId xmlns:a16="http://schemas.microsoft.com/office/drawing/2014/main" id="{00000000-0008-0000-0500-000067000000}"/>
                </a:ext>
              </a:extLst>
            </xdr:cNvPr>
            <xdr:cNvCxnSpPr/>
          </xdr:nvCxnSpPr>
          <xdr:spPr>
            <a:xfrm rot="10800000" flipV="1">
              <a:off x="1743075" y="953139"/>
              <a:ext cx="2000250" cy="2"/>
            </a:xfrm>
            <a:prstGeom prst="straightConnector1">
              <a:avLst/>
            </a:prstGeom>
            <a:ln w="15875">
              <a:headEnd type="triangl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9" name="群組 88">
            <a:extLst>
              <a:ext uri="{FF2B5EF4-FFF2-40B4-BE49-F238E27FC236}">
                <a16:creationId xmlns:a16="http://schemas.microsoft.com/office/drawing/2014/main" id="{00000000-0008-0000-0500-000059000000}"/>
              </a:ext>
            </a:extLst>
          </xdr:cNvPr>
          <xdr:cNvGrpSpPr/>
        </xdr:nvGrpSpPr>
        <xdr:grpSpPr>
          <a:xfrm>
            <a:off x="9620492" y="8973483"/>
            <a:ext cx="2563887" cy="546710"/>
            <a:chOff x="1743074" y="904875"/>
            <a:chExt cx="2001600" cy="228447"/>
          </a:xfrm>
        </xdr:grpSpPr>
        <xdr:sp macro="" textlink="">
          <xdr:nvSpPr>
            <xdr:cNvPr id="98" name="文字方塊 97">
              <a:extLst>
                <a:ext uri="{FF2B5EF4-FFF2-40B4-BE49-F238E27FC236}">
                  <a16:creationId xmlns:a16="http://schemas.microsoft.com/office/drawing/2014/main" id="{00000000-0008-0000-0500-000062000000}"/>
                </a:ext>
              </a:extLst>
            </xdr:cNvPr>
            <xdr:cNvSpPr txBox="1"/>
          </xdr:nvSpPr>
          <xdr:spPr>
            <a:xfrm>
              <a:off x="1775659" y="943615"/>
              <a:ext cx="1838325" cy="1897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TW" sz="1100"/>
                <a:t>LifterLockRequest()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zh-TW" altLang="en-US" sz="1100"/>
                <a:t>鎖定電梯及開門</a:t>
              </a:r>
            </a:p>
          </xdr:txBody>
        </xdr:sp>
        <xdr:cxnSp macro="">
          <xdr:nvCxnSpPr>
            <xdr:cNvPr id="99" name="直線單箭頭接點 98">
              <a:extLst>
                <a:ext uri="{FF2B5EF4-FFF2-40B4-BE49-F238E27FC236}">
                  <a16:creationId xmlns:a16="http://schemas.microsoft.com/office/drawing/2014/main" id="{00000000-0008-0000-0500-000063000000}"/>
                </a:ext>
              </a:extLst>
            </xdr:cNvPr>
            <xdr:cNvCxnSpPr/>
          </xdr:nvCxnSpPr>
          <xdr:spPr>
            <a:xfrm>
              <a:off x="1743074" y="904875"/>
              <a:ext cx="2001600" cy="0"/>
            </a:xfrm>
            <a:prstGeom prst="straightConnector1">
              <a:avLst/>
            </a:prstGeom>
            <a:ln w="15875">
              <a:headEnd type="triangl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0" name="直線單箭頭接點 99">
              <a:extLst>
                <a:ext uri="{FF2B5EF4-FFF2-40B4-BE49-F238E27FC236}">
                  <a16:creationId xmlns:a16="http://schemas.microsoft.com/office/drawing/2014/main" id="{00000000-0008-0000-0500-000064000000}"/>
                </a:ext>
              </a:extLst>
            </xdr:cNvPr>
            <xdr:cNvCxnSpPr/>
          </xdr:nvCxnSpPr>
          <xdr:spPr>
            <a:xfrm rot="10800000" flipV="1">
              <a:off x="1743075" y="953139"/>
              <a:ext cx="2000250" cy="2"/>
            </a:xfrm>
            <a:prstGeom prst="straightConnector1">
              <a:avLst/>
            </a:prstGeom>
            <a:ln w="15875">
              <a:headEnd type="triangl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0" name="群組 89">
            <a:extLst>
              <a:ext uri="{FF2B5EF4-FFF2-40B4-BE49-F238E27FC236}">
                <a16:creationId xmlns:a16="http://schemas.microsoft.com/office/drawing/2014/main" id="{00000000-0008-0000-0500-00005A000000}"/>
              </a:ext>
            </a:extLst>
          </xdr:cNvPr>
          <xdr:cNvGrpSpPr/>
        </xdr:nvGrpSpPr>
        <xdr:grpSpPr>
          <a:xfrm>
            <a:off x="9656930" y="5045521"/>
            <a:ext cx="2519830" cy="680579"/>
            <a:chOff x="5238750" y="2085975"/>
            <a:chExt cx="3430351" cy="577422"/>
          </a:xfrm>
        </xdr:grpSpPr>
        <xdr:sp macro="" textlink="">
          <xdr:nvSpPr>
            <xdr:cNvPr id="95" name="文字方塊 94">
              <a:extLst>
                <a:ext uri="{FF2B5EF4-FFF2-40B4-BE49-F238E27FC236}">
                  <a16:creationId xmlns:a16="http://schemas.microsoft.com/office/drawing/2014/main" id="{00000000-0008-0000-0500-00005F000000}"/>
                </a:ext>
              </a:extLst>
            </xdr:cNvPr>
            <xdr:cNvSpPr txBox="1"/>
          </xdr:nvSpPr>
          <xdr:spPr>
            <a:xfrm>
              <a:off x="5353050" y="2216067"/>
              <a:ext cx="3267075" cy="4473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noAutofit/>
            </a:bodyPr>
            <a:lstStyle/>
            <a:p>
              <a:r>
                <a:rPr lang="en-US" altLang="zh-TW" sz="1100"/>
                <a:t>LifterUnlockRequest()</a:t>
              </a:r>
              <a:br>
                <a:rPr lang="en-US" altLang="zh-TW" sz="1100"/>
              </a:br>
              <a:r>
                <a:rPr lang="zh-TW" altLang="en-US" sz="1100"/>
                <a:t>解鎖電梯</a:t>
              </a:r>
            </a:p>
          </xdr:txBody>
        </xdr:sp>
        <xdr:cxnSp macro="">
          <xdr:nvCxnSpPr>
            <xdr:cNvPr id="96" name="直線單箭頭接點 95">
              <a:extLst>
                <a:ext uri="{FF2B5EF4-FFF2-40B4-BE49-F238E27FC236}">
                  <a16:creationId xmlns:a16="http://schemas.microsoft.com/office/drawing/2014/main" id="{00000000-0008-0000-0500-000060000000}"/>
                </a:ext>
              </a:extLst>
            </xdr:cNvPr>
            <xdr:cNvCxnSpPr/>
          </xdr:nvCxnSpPr>
          <xdr:spPr>
            <a:xfrm>
              <a:off x="5238750" y="2085975"/>
              <a:ext cx="3430350" cy="0"/>
            </a:xfrm>
            <a:prstGeom prst="straightConnector1">
              <a:avLst/>
            </a:prstGeom>
            <a:ln w="15875"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7" name="直線單箭頭接點 96">
              <a:extLst>
                <a:ext uri="{FF2B5EF4-FFF2-40B4-BE49-F238E27FC236}">
                  <a16:creationId xmlns:a16="http://schemas.microsoft.com/office/drawing/2014/main" id="{00000000-0008-0000-0500-000061000000}"/>
                </a:ext>
              </a:extLst>
            </xdr:cNvPr>
            <xdr:cNvCxnSpPr/>
          </xdr:nvCxnSpPr>
          <xdr:spPr>
            <a:xfrm rot="10800000" flipV="1">
              <a:off x="5238751" y="2171700"/>
              <a:ext cx="3430350" cy="2"/>
            </a:xfrm>
            <a:prstGeom prst="straightConnector1">
              <a:avLst/>
            </a:prstGeom>
            <a:ln w="15875"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1" name="群組 90">
            <a:extLst>
              <a:ext uri="{FF2B5EF4-FFF2-40B4-BE49-F238E27FC236}">
                <a16:creationId xmlns:a16="http://schemas.microsoft.com/office/drawing/2014/main" id="{00000000-0008-0000-0500-00005B000000}"/>
              </a:ext>
            </a:extLst>
          </xdr:cNvPr>
          <xdr:cNvGrpSpPr/>
        </xdr:nvGrpSpPr>
        <xdr:grpSpPr>
          <a:xfrm>
            <a:off x="9624061" y="8282940"/>
            <a:ext cx="2560320" cy="567689"/>
            <a:chOff x="1743074" y="904875"/>
            <a:chExt cx="2001600" cy="321852"/>
          </a:xfrm>
        </xdr:grpSpPr>
        <xdr:sp macro="" textlink="">
          <xdr:nvSpPr>
            <xdr:cNvPr id="92" name="文字方塊 91">
              <a:extLst>
                <a:ext uri="{FF2B5EF4-FFF2-40B4-BE49-F238E27FC236}">
                  <a16:creationId xmlns:a16="http://schemas.microsoft.com/office/drawing/2014/main" id="{00000000-0008-0000-0500-00005C000000}"/>
                </a:ext>
              </a:extLst>
            </xdr:cNvPr>
            <xdr:cNvSpPr txBox="1"/>
          </xdr:nvSpPr>
          <xdr:spPr>
            <a:xfrm>
              <a:off x="1775659" y="943614"/>
              <a:ext cx="1838325" cy="283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TW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LifterMoveTaskReport</a:t>
              </a:r>
              <a:r>
                <a:rPr lang="en-US" altLang="zh-TW" sz="1100"/>
                <a:t>()</a:t>
              </a:r>
              <a:br>
                <a:rPr lang="en-US" altLang="zh-TW" sz="1100"/>
              </a:br>
              <a:r>
                <a:rPr lang="en-US" altLang="zh-TW" sz="1100"/>
                <a:t>Move</a:t>
              </a:r>
              <a:r>
                <a:rPr lang="en-US" altLang="zh-TW" sz="1100" baseline="0"/>
                <a:t> </a:t>
              </a:r>
              <a:r>
                <a:rPr lang="zh-TW" altLang="en-US" sz="1100" baseline="0"/>
                <a:t>任務</a:t>
              </a:r>
              <a:r>
                <a:rPr lang="zh-TW" altLang="en-US" sz="1100"/>
                <a:t>狀態回報</a:t>
              </a:r>
              <a:r>
                <a:rPr lang="en-US" altLang="zh-TW" sz="1100"/>
                <a:t>Task "END"</a:t>
              </a:r>
              <a:r>
                <a:rPr lang="zh-TW" altLang="en-US" sz="1100"/>
                <a:t>、</a:t>
              </a:r>
            </a:p>
          </xdr:txBody>
        </xdr:sp>
        <xdr:cxnSp macro="">
          <xdr:nvCxnSpPr>
            <xdr:cNvPr id="93" name="直線單箭頭接點 92">
              <a:extLst>
                <a:ext uri="{FF2B5EF4-FFF2-40B4-BE49-F238E27FC236}">
                  <a16:creationId xmlns:a16="http://schemas.microsoft.com/office/drawing/2014/main" id="{00000000-0008-0000-0500-00005D000000}"/>
                </a:ext>
              </a:extLst>
            </xdr:cNvPr>
            <xdr:cNvCxnSpPr/>
          </xdr:nvCxnSpPr>
          <xdr:spPr>
            <a:xfrm>
              <a:off x="1743074" y="904875"/>
              <a:ext cx="2001600" cy="0"/>
            </a:xfrm>
            <a:prstGeom prst="straightConnector1">
              <a:avLst/>
            </a:prstGeom>
            <a:ln w="15875">
              <a:headEnd type="triangl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4" name="直線單箭頭接點 93">
              <a:extLst>
                <a:ext uri="{FF2B5EF4-FFF2-40B4-BE49-F238E27FC236}">
                  <a16:creationId xmlns:a16="http://schemas.microsoft.com/office/drawing/2014/main" id="{00000000-0008-0000-0500-00005E000000}"/>
                </a:ext>
              </a:extLst>
            </xdr:cNvPr>
            <xdr:cNvCxnSpPr/>
          </xdr:nvCxnSpPr>
          <xdr:spPr>
            <a:xfrm rot="10800000" flipV="1">
              <a:off x="1743075" y="953139"/>
              <a:ext cx="2000250" cy="2"/>
            </a:xfrm>
            <a:prstGeom prst="straightConnector1">
              <a:avLst/>
            </a:prstGeom>
            <a:ln w="15875">
              <a:headEnd type="triangl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3</xdr:col>
      <xdr:colOff>0</xdr:colOff>
      <xdr:row>171</xdr:row>
      <xdr:rowOff>0</xdr:rowOff>
    </xdr:from>
    <xdr:to>
      <xdr:col>14</xdr:col>
      <xdr:colOff>367953</xdr:colOff>
      <xdr:row>172</xdr:row>
      <xdr:rowOff>152400</xdr:rowOff>
    </xdr:to>
    <xdr:grpSp>
      <xdr:nvGrpSpPr>
        <xdr:cNvPr id="110" name="群組 109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GrpSpPr/>
      </xdr:nvGrpSpPr>
      <xdr:grpSpPr>
        <a:xfrm>
          <a:off x="2343150" y="34347150"/>
          <a:ext cx="7374543" cy="352425"/>
          <a:chOff x="2722245" y="403860"/>
          <a:chExt cx="7357110" cy="350520"/>
        </a:xfrm>
      </xdr:grpSpPr>
      <xdr:sp macro="" textlink="">
        <xdr:nvSpPr>
          <xdr:cNvPr id="111" name="矩形 110">
            <a:extLst>
              <a:ext uri="{FF2B5EF4-FFF2-40B4-BE49-F238E27FC236}">
                <a16:creationId xmlns:a16="http://schemas.microsoft.com/office/drawing/2014/main" id="{00000000-0008-0000-0500-00006F000000}"/>
              </a:ext>
            </a:extLst>
          </xdr:cNvPr>
          <xdr:cNvSpPr/>
        </xdr:nvSpPr>
        <xdr:spPr>
          <a:xfrm>
            <a:off x="4278630" y="403860"/>
            <a:ext cx="920115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MCS</a:t>
            </a:r>
            <a:endParaRPr lang="zh-TW" altLang="en-US" sz="1100"/>
          </a:p>
        </xdr:txBody>
      </xdr:sp>
      <xdr:sp macro="" textlink="">
        <xdr:nvSpPr>
          <xdr:cNvPr id="112" name="矩形 111">
            <a:extLst>
              <a:ext uri="{FF2B5EF4-FFF2-40B4-BE49-F238E27FC236}">
                <a16:creationId xmlns:a16="http://schemas.microsoft.com/office/drawing/2014/main" id="{00000000-0008-0000-0500-000070000000}"/>
              </a:ext>
            </a:extLst>
          </xdr:cNvPr>
          <xdr:cNvSpPr/>
        </xdr:nvSpPr>
        <xdr:spPr>
          <a:xfrm>
            <a:off x="7355205" y="403860"/>
            <a:ext cx="96012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Lifter</a:t>
            </a:r>
          </a:p>
        </xdr:txBody>
      </xdr:sp>
      <xdr:sp macro="" textlink="">
        <xdr:nvSpPr>
          <xdr:cNvPr id="113" name="矩形 112">
            <a:extLst>
              <a:ext uri="{FF2B5EF4-FFF2-40B4-BE49-F238E27FC236}">
                <a16:creationId xmlns:a16="http://schemas.microsoft.com/office/drawing/2014/main" id="{00000000-0008-0000-0500-000071000000}"/>
              </a:ext>
            </a:extLst>
          </xdr:cNvPr>
          <xdr:cNvSpPr/>
        </xdr:nvSpPr>
        <xdr:spPr>
          <a:xfrm>
            <a:off x="9187815" y="403860"/>
            <a:ext cx="89154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AGVC</a:t>
            </a:r>
            <a:endParaRPr lang="zh-TW" altLang="en-US" sz="1100"/>
          </a:p>
        </xdr:txBody>
      </xdr:sp>
      <xdr:sp macro="" textlink="">
        <xdr:nvSpPr>
          <xdr:cNvPr id="114" name="矩形 113">
            <a:extLst>
              <a:ext uri="{FF2B5EF4-FFF2-40B4-BE49-F238E27FC236}">
                <a16:creationId xmlns:a16="http://schemas.microsoft.com/office/drawing/2014/main" id="{00000000-0008-0000-0500-000072000000}"/>
              </a:ext>
            </a:extLst>
          </xdr:cNvPr>
          <xdr:cNvSpPr/>
        </xdr:nvSpPr>
        <xdr:spPr>
          <a:xfrm>
            <a:off x="2722245" y="403860"/>
            <a:ext cx="891540" cy="340995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DCS</a:t>
            </a:r>
            <a:endParaRPr lang="zh-TW" altLang="en-US" sz="1100"/>
          </a:p>
        </xdr:txBody>
      </xdr:sp>
    </xdr:grpSp>
    <xdr:clientData/>
  </xdr:twoCellAnchor>
  <xdr:twoCellAnchor>
    <xdr:from>
      <xdr:col>3</xdr:col>
      <xdr:colOff>466725</xdr:colOff>
      <xdr:row>173</xdr:row>
      <xdr:rowOff>28575</xdr:rowOff>
    </xdr:from>
    <xdr:to>
      <xdr:col>13</xdr:col>
      <xdr:colOff>436819</xdr:colOff>
      <xdr:row>188</xdr:row>
      <xdr:rowOff>28575</xdr:rowOff>
    </xdr:to>
    <xdr:grpSp>
      <xdr:nvGrpSpPr>
        <xdr:cNvPr id="115" name="群組 114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GrpSpPr/>
      </xdr:nvGrpSpPr>
      <xdr:grpSpPr>
        <a:xfrm>
          <a:off x="2811780" y="34773870"/>
          <a:ext cx="6363274" cy="3000375"/>
          <a:chOff x="3158489" y="5732146"/>
          <a:chExt cx="6465570" cy="5715074"/>
        </a:xfrm>
      </xdr:grpSpPr>
      <xdr:cxnSp macro="">
        <xdr:nvCxnSpPr>
          <xdr:cNvPr id="116" name="直線接點 115">
            <a:extLst>
              <a:ext uri="{FF2B5EF4-FFF2-40B4-BE49-F238E27FC236}">
                <a16:creationId xmlns:a16="http://schemas.microsoft.com/office/drawing/2014/main" id="{00000000-0008-0000-0500-000074000000}"/>
              </a:ext>
            </a:extLst>
          </xdr:cNvPr>
          <xdr:cNvCxnSpPr/>
        </xdr:nvCxnSpPr>
        <xdr:spPr>
          <a:xfrm rot="5400000">
            <a:off x="1922181" y="8594049"/>
            <a:ext cx="5704755" cy="1588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7" name="直線接點 116">
            <a:extLst>
              <a:ext uri="{FF2B5EF4-FFF2-40B4-BE49-F238E27FC236}">
                <a16:creationId xmlns:a16="http://schemas.microsoft.com/office/drawing/2014/main" id="{00000000-0008-0000-0500-000075000000}"/>
              </a:ext>
            </a:extLst>
          </xdr:cNvPr>
          <xdr:cNvCxnSpPr/>
        </xdr:nvCxnSpPr>
        <xdr:spPr>
          <a:xfrm rot="5400000">
            <a:off x="4986064" y="8594049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8" name="直線接點 117">
            <a:extLst>
              <a:ext uri="{FF2B5EF4-FFF2-40B4-BE49-F238E27FC236}">
                <a16:creationId xmlns:a16="http://schemas.microsoft.com/office/drawing/2014/main" id="{00000000-0008-0000-0500-000076000000}"/>
              </a:ext>
            </a:extLst>
          </xdr:cNvPr>
          <xdr:cNvCxnSpPr/>
        </xdr:nvCxnSpPr>
        <xdr:spPr>
          <a:xfrm rot="5400000">
            <a:off x="6771681" y="8594049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" name="直線接點 118">
            <a:extLst>
              <a:ext uri="{FF2B5EF4-FFF2-40B4-BE49-F238E27FC236}">
                <a16:creationId xmlns:a16="http://schemas.microsoft.com/office/drawing/2014/main" id="{00000000-0008-0000-0500-000077000000}"/>
              </a:ext>
            </a:extLst>
          </xdr:cNvPr>
          <xdr:cNvCxnSpPr/>
        </xdr:nvCxnSpPr>
        <xdr:spPr>
          <a:xfrm rot="5400000">
            <a:off x="306111" y="8584524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88531</xdr:colOff>
      <xdr:row>176</xdr:row>
      <xdr:rowOff>95250</xdr:rowOff>
    </xdr:from>
    <xdr:to>
      <xdr:col>13</xdr:col>
      <xdr:colOff>549527</xdr:colOff>
      <xdr:row>178</xdr:row>
      <xdr:rowOff>115258</xdr:rowOff>
    </xdr:to>
    <xdr:grpSp>
      <xdr:nvGrpSpPr>
        <xdr:cNvPr id="120" name="群組 119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GrpSpPr/>
      </xdr:nvGrpSpPr>
      <xdr:grpSpPr>
        <a:xfrm>
          <a:off x="7388491" y="35438715"/>
          <a:ext cx="1899271" cy="423868"/>
          <a:chOff x="10323419" y="54983675"/>
          <a:chExt cx="1891651" cy="420058"/>
        </a:xfrm>
      </xdr:grpSpPr>
      <xdr:sp macro="" textlink="">
        <xdr:nvSpPr>
          <xdr:cNvPr id="121" name="矩形 120">
            <a:extLst>
              <a:ext uri="{FF2B5EF4-FFF2-40B4-BE49-F238E27FC236}">
                <a16:creationId xmlns:a16="http://schemas.microsoft.com/office/drawing/2014/main" id="{00000000-0008-0000-0500-000079000000}"/>
              </a:ext>
            </a:extLst>
          </xdr:cNvPr>
          <xdr:cNvSpPr/>
        </xdr:nvSpPr>
        <xdr:spPr>
          <a:xfrm>
            <a:off x="10323419" y="55090467"/>
            <a:ext cx="57150" cy="14287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zh-TW" altLang="en-US" sz="1100"/>
          </a:p>
        </xdr:txBody>
      </xdr:sp>
      <xdr:cxnSp macro="">
        <xdr:nvCxnSpPr>
          <xdr:cNvPr id="122" name="圖案 303">
            <a:extLst>
              <a:ext uri="{FF2B5EF4-FFF2-40B4-BE49-F238E27FC236}">
                <a16:creationId xmlns:a16="http://schemas.microsoft.com/office/drawing/2014/main" id="{00000000-0008-0000-0500-00007A000000}"/>
              </a:ext>
            </a:extLst>
          </xdr:cNvPr>
          <xdr:cNvCxnSpPr/>
        </xdr:nvCxnSpPr>
        <xdr:spPr>
          <a:xfrm rot="5400000" flipH="1">
            <a:off x="10288176" y="55161905"/>
            <a:ext cx="142876" cy="1588"/>
          </a:xfrm>
          <a:prstGeom prst="curvedConnector5">
            <a:avLst>
              <a:gd name="adj1" fmla="val -159999"/>
              <a:gd name="adj2" fmla="val -14854161"/>
              <a:gd name="adj3" fmla="val 259999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3" name="文字方塊 122">
            <a:extLst>
              <a:ext uri="{FF2B5EF4-FFF2-40B4-BE49-F238E27FC236}">
                <a16:creationId xmlns:a16="http://schemas.microsoft.com/office/drawing/2014/main" id="{00000000-0008-0000-0500-00007B000000}"/>
              </a:ext>
            </a:extLst>
          </xdr:cNvPr>
          <xdr:cNvSpPr txBox="1"/>
        </xdr:nvSpPr>
        <xdr:spPr>
          <a:xfrm>
            <a:off x="10581938" y="54983675"/>
            <a:ext cx="1633132" cy="4200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r>
              <a:rPr lang="zh-TW" altLang="en-US" sz="1100"/>
              <a:t>防火報警發生</a:t>
            </a:r>
            <a:endParaRPr lang="en-US" altLang="zh-TW" sz="1100"/>
          </a:p>
        </xdr:txBody>
      </xdr:sp>
    </xdr:grpSp>
    <xdr:clientData/>
  </xdr:twoCellAnchor>
  <xdr:twoCellAnchor>
    <xdr:from>
      <xdr:col>6</xdr:col>
      <xdr:colOff>228600</xdr:colOff>
      <xdr:row>177</xdr:row>
      <xdr:rowOff>74402</xdr:rowOff>
    </xdr:from>
    <xdr:to>
      <xdr:col>11</xdr:col>
      <xdr:colOff>92117</xdr:colOff>
      <xdr:row>180</xdr:row>
      <xdr:rowOff>3001</xdr:rowOff>
    </xdr:to>
    <xdr:grpSp>
      <xdr:nvGrpSpPr>
        <xdr:cNvPr id="124" name="群組 123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GrpSpPr/>
      </xdr:nvGrpSpPr>
      <xdr:grpSpPr>
        <a:xfrm>
          <a:off x="4429125" y="35621702"/>
          <a:ext cx="2962952" cy="528674"/>
          <a:chOff x="5726399" y="9029700"/>
          <a:chExt cx="2009251" cy="571251"/>
        </a:xfrm>
      </xdr:grpSpPr>
      <xdr:sp macro="" textlink="">
        <xdr:nvSpPr>
          <xdr:cNvPr id="125" name="文字方塊 124">
            <a:extLst>
              <a:ext uri="{FF2B5EF4-FFF2-40B4-BE49-F238E27FC236}">
                <a16:creationId xmlns:a16="http://schemas.microsoft.com/office/drawing/2014/main" id="{00000000-0008-0000-0500-00007D000000}"/>
              </a:ext>
            </a:extLst>
          </xdr:cNvPr>
          <xdr:cNvSpPr txBox="1"/>
        </xdr:nvSpPr>
        <xdr:spPr>
          <a:xfrm>
            <a:off x="5726399" y="9164165"/>
            <a:ext cx="1952283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algn="r"/>
            <a:r>
              <a:rPr lang="en-US" altLang="zh-TW" sz="1100"/>
              <a:t>FireEventReport()</a:t>
            </a:r>
            <a:br>
              <a:rPr lang="en-US" altLang="zh-TW" sz="1100"/>
            </a:br>
            <a:r>
              <a:rPr lang="zh-TW" altLang="en-US" sz="1100"/>
              <a:t>防火報警訊息事件</a:t>
            </a:r>
          </a:p>
        </xdr:txBody>
      </xdr:sp>
      <xdr:cxnSp macro="">
        <xdr:nvCxnSpPr>
          <xdr:cNvPr id="126" name="直線單箭頭接點 125">
            <a:extLst>
              <a:ext uri="{FF2B5EF4-FFF2-40B4-BE49-F238E27FC236}">
                <a16:creationId xmlns:a16="http://schemas.microsoft.com/office/drawing/2014/main" id="{00000000-0008-0000-0500-00007E000000}"/>
              </a:ext>
            </a:extLst>
          </xdr:cNvPr>
          <xdr:cNvCxnSpPr/>
        </xdr:nvCxnSpPr>
        <xdr:spPr>
          <a:xfrm>
            <a:off x="5734050" y="9029700"/>
            <a:ext cx="2001600" cy="0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7" name="直線單箭頭接點 126">
            <a:extLst>
              <a:ext uri="{FF2B5EF4-FFF2-40B4-BE49-F238E27FC236}">
                <a16:creationId xmlns:a16="http://schemas.microsoft.com/office/drawing/2014/main" id="{00000000-0008-0000-0500-00007F000000}"/>
              </a:ext>
            </a:extLst>
          </xdr:cNvPr>
          <xdr:cNvCxnSpPr/>
        </xdr:nvCxnSpPr>
        <xdr:spPr>
          <a:xfrm rot="10800000" flipV="1">
            <a:off x="5734051" y="9115425"/>
            <a:ext cx="2000250" cy="2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180976</xdr:colOff>
      <xdr:row>184</xdr:row>
      <xdr:rowOff>9525</xdr:rowOff>
    </xdr:from>
    <xdr:to>
      <xdr:col>11</xdr:col>
      <xdr:colOff>104776</xdr:colOff>
      <xdr:row>186</xdr:row>
      <xdr:rowOff>130529</xdr:rowOff>
    </xdr:to>
    <xdr:grpSp>
      <xdr:nvGrpSpPr>
        <xdr:cNvPr id="128" name="群組 127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GrpSpPr/>
      </xdr:nvGrpSpPr>
      <xdr:grpSpPr>
        <a:xfrm>
          <a:off x="4379596" y="36958905"/>
          <a:ext cx="3019425" cy="522959"/>
          <a:chOff x="5726399" y="9029700"/>
          <a:chExt cx="2009251" cy="571251"/>
        </a:xfrm>
      </xdr:grpSpPr>
      <xdr:sp macro="" textlink="">
        <xdr:nvSpPr>
          <xdr:cNvPr id="129" name="文字方塊 128">
            <a:extLst>
              <a:ext uri="{FF2B5EF4-FFF2-40B4-BE49-F238E27FC236}">
                <a16:creationId xmlns:a16="http://schemas.microsoft.com/office/drawing/2014/main" id="{00000000-0008-0000-0500-000081000000}"/>
              </a:ext>
            </a:extLst>
          </xdr:cNvPr>
          <xdr:cNvSpPr txBox="1"/>
        </xdr:nvSpPr>
        <xdr:spPr>
          <a:xfrm>
            <a:off x="5726399" y="9164165"/>
            <a:ext cx="1952283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algn="r"/>
            <a:r>
              <a:rPr lang="en-US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FireEventReport()</a:t>
            </a:r>
            <a:br>
              <a:rPr lang="en-US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zh-TW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防火報警訊息事件</a:t>
            </a:r>
            <a:endParaRPr lang="zh-TW" altLang="zh-TW">
              <a:effectLst/>
            </a:endParaRPr>
          </a:p>
        </xdr:txBody>
      </xdr:sp>
      <xdr:cxnSp macro="">
        <xdr:nvCxnSpPr>
          <xdr:cNvPr id="130" name="直線單箭頭接點 129">
            <a:extLst>
              <a:ext uri="{FF2B5EF4-FFF2-40B4-BE49-F238E27FC236}">
                <a16:creationId xmlns:a16="http://schemas.microsoft.com/office/drawing/2014/main" id="{00000000-0008-0000-0500-000082000000}"/>
              </a:ext>
            </a:extLst>
          </xdr:cNvPr>
          <xdr:cNvCxnSpPr/>
        </xdr:nvCxnSpPr>
        <xdr:spPr>
          <a:xfrm>
            <a:off x="5734050" y="9029700"/>
            <a:ext cx="2001600" cy="0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" name="直線單箭頭接點 130">
            <a:extLst>
              <a:ext uri="{FF2B5EF4-FFF2-40B4-BE49-F238E27FC236}">
                <a16:creationId xmlns:a16="http://schemas.microsoft.com/office/drawing/2014/main" id="{00000000-0008-0000-0500-000083000000}"/>
              </a:ext>
            </a:extLst>
          </xdr:cNvPr>
          <xdr:cNvCxnSpPr/>
        </xdr:nvCxnSpPr>
        <xdr:spPr>
          <a:xfrm rot="10800000" flipV="1">
            <a:off x="5734051" y="9115425"/>
            <a:ext cx="2000250" cy="2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95250</xdr:colOff>
      <xdr:row>183</xdr:row>
      <xdr:rowOff>19050</xdr:rowOff>
    </xdr:from>
    <xdr:to>
      <xdr:col>13</xdr:col>
      <xdr:colOff>554341</xdr:colOff>
      <xdr:row>185</xdr:row>
      <xdr:rowOff>48583</xdr:rowOff>
    </xdr:to>
    <xdr:grpSp>
      <xdr:nvGrpSpPr>
        <xdr:cNvPr id="132" name="群組 131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GrpSpPr/>
      </xdr:nvGrpSpPr>
      <xdr:grpSpPr>
        <a:xfrm>
          <a:off x="7387590" y="36762690"/>
          <a:ext cx="1897366" cy="435298"/>
          <a:chOff x="10323419" y="54983675"/>
          <a:chExt cx="1891651" cy="420058"/>
        </a:xfrm>
      </xdr:grpSpPr>
      <xdr:sp macro="" textlink="">
        <xdr:nvSpPr>
          <xdr:cNvPr id="133" name="矩形 132">
            <a:extLst>
              <a:ext uri="{FF2B5EF4-FFF2-40B4-BE49-F238E27FC236}">
                <a16:creationId xmlns:a16="http://schemas.microsoft.com/office/drawing/2014/main" id="{00000000-0008-0000-0500-000085000000}"/>
              </a:ext>
            </a:extLst>
          </xdr:cNvPr>
          <xdr:cNvSpPr/>
        </xdr:nvSpPr>
        <xdr:spPr>
          <a:xfrm>
            <a:off x="10323419" y="55090467"/>
            <a:ext cx="57150" cy="142876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zh-TW" altLang="en-US" sz="1100"/>
          </a:p>
        </xdr:txBody>
      </xdr:sp>
      <xdr:cxnSp macro="">
        <xdr:nvCxnSpPr>
          <xdr:cNvPr id="134" name="圖案 303">
            <a:extLst>
              <a:ext uri="{FF2B5EF4-FFF2-40B4-BE49-F238E27FC236}">
                <a16:creationId xmlns:a16="http://schemas.microsoft.com/office/drawing/2014/main" id="{00000000-0008-0000-0500-000086000000}"/>
              </a:ext>
            </a:extLst>
          </xdr:cNvPr>
          <xdr:cNvCxnSpPr/>
        </xdr:nvCxnSpPr>
        <xdr:spPr>
          <a:xfrm rot="5400000" flipH="1">
            <a:off x="10288176" y="55161905"/>
            <a:ext cx="142876" cy="1588"/>
          </a:xfrm>
          <a:prstGeom prst="curvedConnector5">
            <a:avLst>
              <a:gd name="adj1" fmla="val -159999"/>
              <a:gd name="adj2" fmla="val -14854161"/>
              <a:gd name="adj3" fmla="val 259999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5" name="文字方塊 134">
            <a:extLst>
              <a:ext uri="{FF2B5EF4-FFF2-40B4-BE49-F238E27FC236}">
                <a16:creationId xmlns:a16="http://schemas.microsoft.com/office/drawing/2014/main" id="{00000000-0008-0000-0500-000087000000}"/>
              </a:ext>
            </a:extLst>
          </xdr:cNvPr>
          <xdr:cNvSpPr txBox="1"/>
        </xdr:nvSpPr>
        <xdr:spPr>
          <a:xfrm>
            <a:off x="10581938" y="54983675"/>
            <a:ext cx="1633132" cy="4200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r>
              <a:rPr lang="zh-TW" altLang="en-US" sz="1100"/>
              <a:t>防火報警解除</a:t>
            </a:r>
            <a:endParaRPr lang="en-US" altLang="zh-TW" sz="1100"/>
          </a:p>
        </xdr:txBody>
      </xdr:sp>
    </xdr:grpSp>
    <xdr:clientData/>
  </xdr:twoCellAnchor>
  <xdr:twoCellAnchor>
    <xdr:from>
      <xdr:col>3</xdr:col>
      <xdr:colOff>466725</xdr:colOff>
      <xdr:row>194</xdr:row>
      <xdr:rowOff>28575</xdr:rowOff>
    </xdr:from>
    <xdr:to>
      <xdr:col>14</xdr:col>
      <xdr:colOff>55788</xdr:colOff>
      <xdr:row>212</xdr:row>
      <xdr:rowOff>9525</xdr:rowOff>
    </xdr:to>
    <xdr:grpSp>
      <xdr:nvGrpSpPr>
        <xdr:cNvPr id="136" name="群組 13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GrpSpPr/>
      </xdr:nvGrpSpPr>
      <xdr:grpSpPr>
        <a:xfrm>
          <a:off x="2811780" y="38983920"/>
          <a:ext cx="6601368" cy="3585210"/>
          <a:chOff x="3158489" y="5732146"/>
          <a:chExt cx="6706198" cy="5715074"/>
        </a:xfrm>
      </xdr:grpSpPr>
      <xdr:cxnSp macro="">
        <xdr:nvCxnSpPr>
          <xdr:cNvPr id="137" name="直線接點 136">
            <a:extLst>
              <a:ext uri="{FF2B5EF4-FFF2-40B4-BE49-F238E27FC236}">
                <a16:creationId xmlns:a16="http://schemas.microsoft.com/office/drawing/2014/main" id="{00000000-0008-0000-0500-000089000000}"/>
              </a:ext>
            </a:extLst>
          </xdr:cNvPr>
          <xdr:cNvCxnSpPr/>
        </xdr:nvCxnSpPr>
        <xdr:spPr>
          <a:xfrm rot="5400000">
            <a:off x="1922181" y="8594049"/>
            <a:ext cx="5704755" cy="1588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8" name="直線接點 137">
            <a:extLst>
              <a:ext uri="{FF2B5EF4-FFF2-40B4-BE49-F238E27FC236}">
                <a16:creationId xmlns:a16="http://schemas.microsoft.com/office/drawing/2014/main" id="{00000000-0008-0000-0500-00008A000000}"/>
              </a:ext>
            </a:extLst>
          </xdr:cNvPr>
          <xdr:cNvCxnSpPr/>
        </xdr:nvCxnSpPr>
        <xdr:spPr>
          <a:xfrm rot="5400000">
            <a:off x="4986064" y="8594049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9" name="直線接點 138">
            <a:extLst>
              <a:ext uri="{FF2B5EF4-FFF2-40B4-BE49-F238E27FC236}">
                <a16:creationId xmlns:a16="http://schemas.microsoft.com/office/drawing/2014/main" id="{00000000-0008-0000-0500-00008B000000}"/>
              </a:ext>
            </a:extLst>
          </xdr:cNvPr>
          <xdr:cNvCxnSpPr/>
        </xdr:nvCxnSpPr>
        <xdr:spPr>
          <a:xfrm rot="5400000">
            <a:off x="7012309" y="8594048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0" name="直線接點 139">
            <a:extLst>
              <a:ext uri="{FF2B5EF4-FFF2-40B4-BE49-F238E27FC236}">
                <a16:creationId xmlns:a16="http://schemas.microsoft.com/office/drawing/2014/main" id="{00000000-0008-0000-0500-00008C000000}"/>
              </a:ext>
            </a:extLst>
          </xdr:cNvPr>
          <xdr:cNvCxnSpPr/>
        </xdr:nvCxnSpPr>
        <xdr:spPr>
          <a:xfrm rot="5400000">
            <a:off x="306111" y="8584524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0</xdr:colOff>
      <xdr:row>192</xdr:row>
      <xdr:rowOff>9525</xdr:rowOff>
    </xdr:from>
    <xdr:to>
      <xdr:col>14</xdr:col>
      <xdr:colOff>514350</xdr:colOff>
      <xdr:row>193</xdr:row>
      <xdr:rowOff>161925</xdr:rowOff>
    </xdr:to>
    <xdr:grpSp>
      <xdr:nvGrpSpPr>
        <xdr:cNvPr id="141" name="群組 140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2343150" y="38568630"/>
          <a:ext cx="7520940" cy="352425"/>
          <a:chOff x="2339340" y="25031700"/>
          <a:chExt cx="7498080" cy="350520"/>
        </a:xfrm>
      </xdr:grpSpPr>
      <xdr:sp macro="" textlink="">
        <xdr:nvSpPr>
          <xdr:cNvPr id="142" name="矩形 141">
            <a:extLst>
              <a:ext uri="{FF2B5EF4-FFF2-40B4-BE49-F238E27FC236}">
                <a16:creationId xmlns:a16="http://schemas.microsoft.com/office/drawing/2014/main" id="{00000000-0008-0000-0500-00008E000000}"/>
              </a:ext>
            </a:extLst>
          </xdr:cNvPr>
          <xdr:cNvSpPr/>
        </xdr:nvSpPr>
        <xdr:spPr>
          <a:xfrm>
            <a:off x="3895725" y="25031700"/>
            <a:ext cx="920115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MCS</a:t>
            </a:r>
            <a:endParaRPr lang="zh-TW" altLang="en-US" sz="1100"/>
          </a:p>
        </xdr:txBody>
      </xdr:sp>
      <xdr:sp macro="" textlink="">
        <xdr:nvSpPr>
          <xdr:cNvPr id="143" name="矩形 142">
            <a:extLst>
              <a:ext uri="{FF2B5EF4-FFF2-40B4-BE49-F238E27FC236}">
                <a16:creationId xmlns:a16="http://schemas.microsoft.com/office/drawing/2014/main" id="{00000000-0008-0000-0500-00008F000000}"/>
              </a:ext>
            </a:extLst>
          </xdr:cNvPr>
          <xdr:cNvSpPr/>
        </xdr:nvSpPr>
        <xdr:spPr>
          <a:xfrm>
            <a:off x="6972300" y="25031700"/>
            <a:ext cx="96012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Lifter</a:t>
            </a:r>
          </a:p>
        </xdr:txBody>
      </xdr:sp>
      <xdr:sp macro="" textlink="">
        <xdr:nvSpPr>
          <xdr:cNvPr id="144" name="矩形 143">
            <a:extLst>
              <a:ext uri="{FF2B5EF4-FFF2-40B4-BE49-F238E27FC236}">
                <a16:creationId xmlns:a16="http://schemas.microsoft.com/office/drawing/2014/main" id="{00000000-0008-0000-0500-000090000000}"/>
              </a:ext>
            </a:extLst>
          </xdr:cNvPr>
          <xdr:cNvSpPr/>
        </xdr:nvSpPr>
        <xdr:spPr>
          <a:xfrm>
            <a:off x="2339340" y="25031700"/>
            <a:ext cx="891540" cy="340995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DCS</a:t>
            </a:r>
            <a:endParaRPr lang="zh-TW" altLang="en-US" sz="1100"/>
          </a:p>
        </xdr:txBody>
      </xdr:sp>
      <xdr:sp macro="" textlink="">
        <xdr:nvSpPr>
          <xdr:cNvPr id="145" name="矩形 144">
            <a:extLst>
              <a:ext uri="{FF2B5EF4-FFF2-40B4-BE49-F238E27FC236}">
                <a16:creationId xmlns:a16="http://schemas.microsoft.com/office/drawing/2014/main" id="{00000000-0008-0000-0500-000091000000}"/>
              </a:ext>
            </a:extLst>
          </xdr:cNvPr>
          <xdr:cNvSpPr/>
        </xdr:nvSpPr>
        <xdr:spPr>
          <a:xfrm>
            <a:off x="8953500" y="25031700"/>
            <a:ext cx="883920" cy="344225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zh-TW" altLang="en-US" sz="1100"/>
              <a:t>操作人員</a:t>
            </a:r>
          </a:p>
        </xdr:txBody>
      </xdr:sp>
    </xdr:grpSp>
    <xdr:clientData/>
  </xdr:twoCellAnchor>
  <xdr:twoCellAnchor>
    <xdr:from>
      <xdr:col>11</xdr:col>
      <xdr:colOff>129437</xdr:colOff>
      <xdr:row>205</xdr:row>
      <xdr:rowOff>0</xdr:rowOff>
    </xdr:from>
    <xdr:to>
      <xdr:col>18</xdr:col>
      <xdr:colOff>144780</xdr:colOff>
      <xdr:row>207</xdr:row>
      <xdr:rowOff>181326</xdr:rowOff>
    </xdr:to>
    <xdr:grpSp>
      <xdr:nvGrpSpPr>
        <xdr:cNvPr id="146" name="群組 145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GrpSpPr/>
      </xdr:nvGrpSpPr>
      <xdr:grpSpPr>
        <a:xfrm>
          <a:off x="7429397" y="41157525"/>
          <a:ext cx="4543528" cy="579471"/>
          <a:chOff x="7406537" y="33482280"/>
          <a:chExt cx="4534003" cy="577566"/>
        </a:xfrm>
      </xdr:grpSpPr>
      <xdr:sp macro="" textlink="">
        <xdr:nvSpPr>
          <xdr:cNvPr id="147" name="文字方塊 146">
            <a:extLst>
              <a:ext uri="{FF2B5EF4-FFF2-40B4-BE49-F238E27FC236}">
                <a16:creationId xmlns:a16="http://schemas.microsoft.com/office/drawing/2014/main" id="{00000000-0008-0000-0500-000093000000}"/>
              </a:ext>
            </a:extLst>
          </xdr:cNvPr>
          <xdr:cNvSpPr txBox="1"/>
        </xdr:nvSpPr>
        <xdr:spPr>
          <a:xfrm>
            <a:off x="9340088" y="33482280"/>
            <a:ext cx="2600452" cy="2743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zh-TW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架裝</a:t>
            </a:r>
            <a:r>
              <a:rPr lang="zh-TW" alt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已搬</a:t>
            </a:r>
            <a:r>
              <a:rPr lang="zh-TW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入</a:t>
            </a:r>
            <a:r>
              <a:rPr lang="zh-TW" alt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電</a:t>
            </a:r>
            <a:r>
              <a:rPr lang="zh-TW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梯完成，人員</a:t>
            </a:r>
            <a:r>
              <a:rPr lang="zh-TW" alt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在</a:t>
            </a:r>
            <a:r>
              <a:rPr lang="zh-TW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電梯</a:t>
            </a:r>
            <a:r>
              <a:rPr lang="zh-TW" alt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外、長按按鈕通知</a:t>
            </a:r>
            <a:r>
              <a:rPr lang="en-US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MCS</a:t>
            </a:r>
            <a:endParaRPr lang="en-US" altLang="zh-TW" sz="1100"/>
          </a:p>
        </xdr:txBody>
      </xdr:sp>
      <xdr:cxnSp macro="">
        <xdr:nvCxnSpPr>
          <xdr:cNvPr id="148" name="直線單箭頭接點 147">
            <a:extLst>
              <a:ext uri="{FF2B5EF4-FFF2-40B4-BE49-F238E27FC236}">
                <a16:creationId xmlns:a16="http://schemas.microsoft.com/office/drawing/2014/main" id="{00000000-0008-0000-0500-000094000000}"/>
              </a:ext>
            </a:extLst>
          </xdr:cNvPr>
          <xdr:cNvCxnSpPr/>
        </xdr:nvCxnSpPr>
        <xdr:spPr>
          <a:xfrm>
            <a:off x="7406537" y="33611368"/>
            <a:ext cx="1966065" cy="0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9" name="文字方塊 148">
            <a:extLst>
              <a:ext uri="{FF2B5EF4-FFF2-40B4-BE49-F238E27FC236}">
                <a16:creationId xmlns:a16="http://schemas.microsoft.com/office/drawing/2014/main" id="{00000000-0008-0000-0500-000095000000}"/>
              </a:ext>
            </a:extLst>
          </xdr:cNvPr>
          <xdr:cNvSpPr txBox="1"/>
        </xdr:nvSpPr>
        <xdr:spPr>
          <a:xfrm>
            <a:off x="7803997" y="33792138"/>
            <a:ext cx="3215639" cy="26770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r>
              <a:rPr lang="zh-TW" altLang="en-US" sz="1100" b="1" baseline="0">
                <a:solidFill>
                  <a:srgbClr val="FF0000"/>
                </a:solidFill>
              </a:rPr>
              <a:t>人員</a:t>
            </a:r>
            <a:r>
              <a:rPr lang="zh-TW" altLang="zh-TW" sz="1100" b="1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長</a:t>
            </a:r>
            <a:r>
              <a:rPr lang="zh-TW" altLang="en-US" sz="1100" b="1" baseline="0">
                <a:solidFill>
                  <a:srgbClr val="FF0000"/>
                </a:solidFill>
              </a:rPr>
              <a:t>按電梯按鈕確認</a:t>
            </a:r>
            <a:endParaRPr lang="zh-TW" altLang="en-US" sz="11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6</xdr:col>
      <xdr:colOff>228600</xdr:colOff>
      <xdr:row>201</xdr:row>
      <xdr:rowOff>0</xdr:rowOff>
    </xdr:from>
    <xdr:to>
      <xdr:col>11</xdr:col>
      <xdr:colOff>114300</xdr:colOff>
      <xdr:row>204</xdr:row>
      <xdr:rowOff>57150</xdr:rowOff>
    </xdr:to>
    <xdr:grpSp>
      <xdr:nvGrpSpPr>
        <xdr:cNvPr id="150" name="群組 149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GrpSpPr/>
      </xdr:nvGrpSpPr>
      <xdr:grpSpPr>
        <a:xfrm>
          <a:off x="4429125" y="40357425"/>
          <a:ext cx="2981325" cy="653415"/>
          <a:chOff x="1743074" y="904875"/>
          <a:chExt cx="2001600" cy="505280"/>
        </a:xfrm>
      </xdr:grpSpPr>
      <xdr:sp macro="" textlink="">
        <xdr:nvSpPr>
          <xdr:cNvPr id="151" name="文字方塊 150">
            <a:extLst>
              <a:ext uri="{FF2B5EF4-FFF2-40B4-BE49-F238E27FC236}">
                <a16:creationId xmlns:a16="http://schemas.microsoft.com/office/drawing/2014/main" id="{00000000-0008-0000-0500-000097000000}"/>
              </a:ext>
            </a:extLst>
          </xdr:cNvPr>
          <xdr:cNvSpPr txBox="1"/>
        </xdr:nvSpPr>
        <xdr:spPr>
          <a:xfrm>
            <a:off x="1746324" y="973369"/>
            <a:ext cx="1988084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TW" sz="1100"/>
              <a:t>CarrierWaitIn()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TW" sz="1100"/>
              <a:t>CarrierID="XXXXXXXXX"</a:t>
            </a:r>
            <a:br>
              <a:rPr lang="en-US" altLang="zh-TW" sz="1100"/>
            </a:br>
            <a:r>
              <a:rPr lang="zh-TW" altLang="en-US" sz="1100"/>
              <a:t>通知電梯，人員已準備手動搬運架裝入電梯</a:t>
            </a:r>
            <a:endParaRPr lang="zh-TW" altLang="zh-TW">
              <a:effectLst/>
            </a:endParaRPr>
          </a:p>
        </xdr:txBody>
      </xdr:sp>
      <xdr:cxnSp macro="">
        <xdr:nvCxnSpPr>
          <xdr:cNvPr id="152" name="直線單箭頭接點 151">
            <a:extLst>
              <a:ext uri="{FF2B5EF4-FFF2-40B4-BE49-F238E27FC236}">
                <a16:creationId xmlns:a16="http://schemas.microsoft.com/office/drawing/2014/main" id="{00000000-0008-0000-0500-000098000000}"/>
              </a:ext>
            </a:extLst>
          </xdr:cNvPr>
          <xdr:cNvCxnSpPr/>
        </xdr:nvCxnSpPr>
        <xdr:spPr>
          <a:xfrm>
            <a:off x="1743074" y="904875"/>
            <a:ext cx="2001600" cy="0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3" name="直線單箭頭接點 152">
            <a:extLst>
              <a:ext uri="{FF2B5EF4-FFF2-40B4-BE49-F238E27FC236}">
                <a16:creationId xmlns:a16="http://schemas.microsoft.com/office/drawing/2014/main" id="{00000000-0008-0000-0500-000099000000}"/>
              </a:ext>
            </a:extLst>
          </xdr:cNvPr>
          <xdr:cNvCxnSpPr/>
        </xdr:nvCxnSpPr>
        <xdr:spPr>
          <a:xfrm rot="10800000" flipV="1">
            <a:off x="1743075" y="990600"/>
            <a:ext cx="2000250" cy="2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466725</xdr:colOff>
      <xdr:row>219</xdr:row>
      <xdr:rowOff>38100</xdr:rowOff>
    </xdr:from>
    <xdr:to>
      <xdr:col>14</xdr:col>
      <xdr:colOff>55788</xdr:colOff>
      <xdr:row>239</xdr:row>
      <xdr:rowOff>9525</xdr:rowOff>
    </xdr:to>
    <xdr:grpSp>
      <xdr:nvGrpSpPr>
        <xdr:cNvPr id="154" name="群組 153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GrpSpPr/>
      </xdr:nvGrpSpPr>
      <xdr:grpSpPr>
        <a:xfrm>
          <a:off x="2811780" y="44005500"/>
          <a:ext cx="6601368" cy="3973830"/>
          <a:chOff x="3158489" y="5732146"/>
          <a:chExt cx="6706198" cy="5715074"/>
        </a:xfrm>
      </xdr:grpSpPr>
      <xdr:cxnSp macro="">
        <xdr:nvCxnSpPr>
          <xdr:cNvPr id="155" name="直線接點 154">
            <a:extLst>
              <a:ext uri="{FF2B5EF4-FFF2-40B4-BE49-F238E27FC236}">
                <a16:creationId xmlns:a16="http://schemas.microsoft.com/office/drawing/2014/main" id="{00000000-0008-0000-0500-00009B000000}"/>
              </a:ext>
            </a:extLst>
          </xdr:cNvPr>
          <xdr:cNvCxnSpPr/>
        </xdr:nvCxnSpPr>
        <xdr:spPr>
          <a:xfrm rot="5400000">
            <a:off x="1922181" y="8594049"/>
            <a:ext cx="5704755" cy="1588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6" name="直線接點 155">
            <a:extLst>
              <a:ext uri="{FF2B5EF4-FFF2-40B4-BE49-F238E27FC236}">
                <a16:creationId xmlns:a16="http://schemas.microsoft.com/office/drawing/2014/main" id="{00000000-0008-0000-0500-00009C000000}"/>
              </a:ext>
            </a:extLst>
          </xdr:cNvPr>
          <xdr:cNvCxnSpPr/>
        </xdr:nvCxnSpPr>
        <xdr:spPr>
          <a:xfrm rot="5400000">
            <a:off x="4986064" y="8594049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7" name="直線接點 156">
            <a:extLst>
              <a:ext uri="{FF2B5EF4-FFF2-40B4-BE49-F238E27FC236}">
                <a16:creationId xmlns:a16="http://schemas.microsoft.com/office/drawing/2014/main" id="{00000000-0008-0000-0500-00009D000000}"/>
              </a:ext>
            </a:extLst>
          </xdr:cNvPr>
          <xdr:cNvCxnSpPr/>
        </xdr:nvCxnSpPr>
        <xdr:spPr>
          <a:xfrm rot="5400000">
            <a:off x="7012309" y="8594048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8" name="直線接點 157">
            <a:extLst>
              <a:ext uri="{FF2B5EF4-FFF2-40B4-BE49-F238E27FC236}">
                <a16:creationId xmlns:a16="http://schemas.microsoft.com/office/drawing/2014/main" id="{00000000-0008-0000-0500-00009E000000}"/>
              </a:ext>
            </a:extLst>
          </xdr:cNvPr>
          <xdr:cNvCxnSpPr/>
        </xdr:nvCxnSpPr>
        <xdr:spPr>
          <a:xfrm rot="5400000">
            <a:off x="306111" y="8584524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219534</xdr:colOff>
      <xdr:row>236</xdr:row>
      <xdr:rowOff>49439</xdr:rowOff>
    </xdr:from>
    <xdr:to>
      <xdr:col>11</xdr:col>
      <xdr:colOff>92576</xdr:colOff>
      <xdr:row>238</xdr:row>
      <xdr:rowOff>178063</xdr:rowOff>
    </xdr:to>
    <xdr:grpSp>
      <xdr:nvGrpSpPr>
        <xdr:cNvPr id="159" name="群組 158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GrpSpPr/>
      </xdr:nvGrpSpPr>
      <xdr:grpSpPr>
        <a:xfrm>
          <a:off x="4418154" y="47419169"/>
          <a:ext cx="2974382" cy="522959"/>
          <a:chOff x="5726399" y="9029700"/>
          <a:chExt cx="2009251" cy="571251"/>
        </a:xfrm>
      </xdr:grpSpPr>
      <xdr:sp macro="" textlink="">
        <xdr:nvSpPr>
          <xdr:cNvPr id="160" name="文字方塊 159">
            <a:extLst>
              <a:ext uri="{FF2B5EF4-FFF2-40B4-BE49-F238E27FC236}">
                <a16:creationId xmlns:a16="http://schemas.microsoft.com/office/drawing/2014/main" id="{00000000-0008-0000-0500-0000A0000000}"/>
              </a:ext>
            </a:extLst>
          </xdr:cNvPr>
          <xdr:cNvSpPr txBox="1"/>
        </xdr:nvSpPr>
        <xdr:spPr>
          <a:xfrm>
            <a:off x="5726399" y="9164165"/>
            <a:ext cx="1952283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CarrierReportEvent()</a:t>
            </a:r>
          </a:p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CarrierID=""</a:t>
            </a:r>
            <a:r>
              <a:rPr lang="zh-TW" alt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EventType="Unload"</a:t>
            </a:r>
            <a:br>
              <a:rPr lang="en-US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zh-TW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通知架裝</a:t>
            </a:r>
            <a:r>
              <a:rPr lang="zh-TW" alt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出</a:t>
            </a:r>
            <a:r>
              <a:rPr lang="zh-TW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梯完成</a:t>
            </a:r>
            <a:endParaRPr lang="zh-TW" altLang="en-US" sz="1100"/>
          </a:p>
        </xdr:txBody>
      </xdr:sp>
      <xdr:cxnSp macro="">
        <xdr:nvCxnSpPr>
          <xdr:cNvPr id="161" name="直線單箭頭接點 160">
            <a:extLst>
              <a:ext uri="{FF2B5EF4-FFF2-40B4-BE49-F238E27FC236}">
                <a16:creationId xmlns:a16="http://schemas.microsoft.com/office/drawing/2014/main" id="{00000000-0008-0000-0500-0000A1000000}"/>
              </a:ext>
            </a:extLst>
          </xdr:cNvPr>
          <xdr:cNvCxnSpPr/>
        </xdr:nvCxnSpPr>
        <xdr:spPr>
          <a:xfrm>
            <a:off x="5734050" y="9029700"/>
            <a:ext cx="2001600" cy="0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2" name="直線單箭頭接點 161">
            <a:extLst>
              <a:ext uri="{FF2B5EF4-FFF2-40B4-BE49-F238E27FC236}">
                <a16:creationId xmlns:a16="http://schemas.microsoft.com/office/drawing/2014/main" id="{00000000-0008-0000-0500-0000A2000000}"/>
              </a:ext>
            </a:extLst>
          </xdr:cNvPr>
          <xdr:cNvCxnSpPr/>
        </xdr:nvCxnSpPr>
        <xdr:spPr>
          <a:xfrm rot="10800000" flipV="1">
            <a:off x="5734051" y="9140305"/>
            <a:ext cx="2000250" cy="2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0</xdr:colOff>
      <xdr:row>217</xdr:row>
      <xdr:rowOff>9525</xdr:rowOff>
    </xdr:from>
    <xdr:to>
      <xdr:col>14</xdr:col>
      <xdr:colOff>514350</xdr:colOff>
      <xdr:row>218</xdr:row>
      <xdr:rowOff>161925</xdr:rowOff>
    </xdr:to>
    <xdr:grpSp>
      <xdr:nvGrpSpPr>
        <xdr:cNvPr id="163" name="群組 162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GrpSpPr/>
      </xdr:nvGrpSpPr>
      <xdr:grpSpPr>
        <a:xfrm>
          <a:off x="2343150" y="43578780"/>
          <a:ext cx="7520940" cy="352425"/>
          <a:chOff x="2339340" y="25031700"/>
          <a:chExt cx="7498080" cy="350520"/>
        </a:xfrm>
      </xdr:grpSpPr>
      <xdr:sp macro="" textlink="">
        <xdr:nvSpPr>
          <xdr:cNvPr id="164" name="矩形 163">
            <a:extLst>
              <a:ext uri="{FF2B5EF4-FFF2-40B4-BE49-F238E27FC236}">
                <a16:creationId xmlns:a16="http://schemas.microsoft.com/office/drawing/2014/main" id="{00000000-0008-0000-0500-0000A4000000}"/>
              </a:ext>
            </a:extLst>
          </xdr:cNvPr>
          <xdr:cNvSpPr/>
        </xdr:nvSpPr>
        <xdr:spPr>
          <a:xfrm>
            <a:off x="3895725" y="25031700"/>
            <a:ext cx="920115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MCS</a:t>
            </a:r>
            <a:endParaRPr lang="zh-TW" altLang="en-US" sz="1100"/>
          </a:p>
        </xdr:txBody>
      </xdr:sp>
      <xdr:sp macro="" textlink="">
        <xdr:nvSpPr>
          <xdr:cNvPr id="165" name="矩形 164">
            <a:extLst>
              <a:ext uri="{FF2B5EF4-FFF2-40B4-BE49-F238E27FC236}">
                <a16:creationId xmlns:a16="http://schemas.microsoft.com/office/drawing/2014/main" id="{00000000-0008-0000-0500-0000A5000000}"/>
              </a:ext>
            </a:extLst>
          </xdr:cNvPr>
          <xdr:cNvSpPr/>
        </xdr:nvSpPr>
        <xdr:spPr>
          <a:xfrm>
            <a:off x="6972300" y="25031700"/>
            <a:ext cx="96012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Lifter</a:t>
            </a:r>
          </a:p>
        </xdr:txBody>
      </xdr:sp>
      <xdr:sp macro="" textlink="">
        <xdr:nvSpPr>
          <xdr:cNvPr id="166" name="矩形 165">
            <a:extLst>
              <a:ext uri="{FF2B5EF4-FFF2-40B4-BE49-F238E27FC236}">
                <a16:creationId xmlns:a16="http://schemas.microsoft.com/office/drawing/2014/main" id="{00000000-0008-0000-0500-0000A6000000}"/>
              </a:ext>
            </a:extLst>
          </xdr:cNvPr>
          <xdr:cNvSpPr/>
        </xdr:nvSpPr>
        <xdr:spPr>
          <a:xfrm>
            <a:off x="2339340" y="25031700"/>
            <a:ext cx="891540" cy="340995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DCS</a:t>
            </a:r>
            <a:endParaRPr lang="zh-TW" altLang="en-US" sz="1100"/>
          </a:p>
        </xdr:txBody>
      </xdr:sp>
      <xdr:sp macro="" textlink="">
        <xdr:nvSpPr>
          <xdr:cNvPr id="167" name="矩形 166">
            <a:extLst>
              <a:ext uri="{FF2B5EF4-FFF2-40B4-BE49-F238E27FC236}">
                <a16:creationId xmlns:a16="http://schemas.microsoft.com/office/drawing/2014/main" id="{00000000-0008-0000-0500-0000A7000000}"/>
              </a:ext>
            </a:extLst>
          </xdr:cNvPr>
          <xdr:cNvSpPr/>
        </xdr:nvSpPr>
        <xdr:spPr>
          <a:xfrm>
            <a:off x="8953500" y="25031700"/>
            <a:ext cx="883920" cy="344225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zh-TW" altLang="en-US" sz="1100"/>
              <a:t>操作人員</a:t>
            </a:r>
          </a:p>
        </xdr:txBody>
      </xdr:sp>
    </xdr:grpSp>
    <xdr:clientData/>
  </xdr:twoCellAnchor>
  <xdr:twoCellAnchor>
    <xdr:from>
      <xdr:col>11</xdr:col>
      <xdr:colOff>136400</xdr:colOff>
      <xdr:row>232</xdr:row>
      <xdr:rowOff>27852</xdr:rowOff>
    </xdr:from>
    <xdr:to>
      <xdr:col>18</xdr:col>
      <xdr:colOff>175260</xdr:colOff>
      <xdr:row>235</xdr:row>
      <xdr:rowOff>35429</xdr:rowOff>
    </xdr:to>
    <xdr:grpSp>
      <xdr:nvGrpSpPr>
        <xdr:cNvPr id="168" name="群組 167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GrpSpPr/>
      </xdr:nvGrpSpPr>
      <xdr:grpSpPr>
        <a:xfrm>
          <a:off x="7428740" y="46593672"/>
          <a:ext cx="4572760" cy="609557"/>
          <a:chOff x="7390640" y="37175352"/>
          <a:chExt cx="4557520" cy="601937"/>
        </a:xfrm>
      </xdr:grpSpPr>
      <xdr:sp macro="" textlink="">
        <xdr:nvSpPr>
          <xdr:cNvPr id="169" name="文字方塊 168">
            <a:extLst>
              <a:ext uri="{FF2B5EF4-FFF2-40B4-BE49-F238E27FC236}">
                <a16:creationId xmlns:a16="http://schemas.microsoft.com/office/drawing/2014/main" id="{00000000-0008-0000-0500-0000A9000000}"/>
              </a:ext>
            </a:extLst>
          </xdr:cNvPr>
          <xdr:cNvSpPr txBox="1"/>
        </xdr:nvSpPr>
        <xdr:spPr>
          <a:xfrm>
            <a:off x="9343898" y="37175352"/>
            <a:ext cx="2604262" cy="2743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zh-TW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架裝</a:t>
            </a:r>
            <a:r>
              <a:rPr lang="zh-TW" alt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已搬出電</a:t>
            </a:r>
            <a:r>
              <a:rPr lang="zh-TW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梯完成，人員退出電梯</a:t>
            </a:r>
            <a:r>
              <a:rPr lang="zh-TW" alt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、</a:t>
            </a:r>
            <a:r>
              <a:rPr lang="zh-TW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人員在電梯外、長按按鈕通知</a:t>
            </a:r>
            <a:r>
              <a:rPr lang="en-US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MCS</a:t>
            </a:r>
            <a:endParaRPr lang="en-US" altLang="zh-TW" sz="1100"/>
          </a:p>
        </xdr:txBody>
      </xdr:sp>
      <xdr:cxnSp macro="">
        <xdr:nvCxnSpPr>
          <xdr:cNvPr id="170" name="直線單箭頭接點 169">
            <a:extLst>
              <a:ext uri="{FF2B5EF4-FFF2-40B4-BE49-F238E27FC236}">
                <a16:creationId xmlns:a16="http://schemas.microsoft.com/office/drawing/2014/main" id="{00000000-0008-0000-0500-0000AA000000}"/>
              </a:ext>
            </a:extLst>
          </xdr:cNvPr>
          <xdr:cNvCxnSpPr/>
        </xdr:nvCxnSpPr>
        <xdr:spPr>
          <a:xfrm>
            <a:off x="7390640" y="37272449"/>
            <a:ext cx="1964160" cy="0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1" name="文字方塊 170">
            <a:extLst>
              <a:ext uri="{FF2B5EF4-FFF2-40B4-BE49-F238E27FC236}">
                <a16:creationId xmlns:a16="http://schemas.microsoft.com/office/drawing/2014/main" id="{00000000-0008-0000-0500-0000AB000000}"/>
              </a:ext>
            </a:extLst>
          </xdr:cNvPr>
          <xdr:cNvSpPr txBox="1"/>
        </xdr:nvSpPr>
        <xdr:spPr>
          <a:xfrm>
            <a:off x="7625584" y="37502815"/>
            <a:ext cx="3215639" cy="2744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r>
              <a:rPr lang="zh-TW" altLang="en-US" sz="1100" b="1" baseline="0">
                <a:solidFill>
                  <a:srgbClr val="FF0000"/>
                </a:solidFill>
              </a:rPr>
              <a:t>人員長按電梯按鈕確認</a:t>
            </a:r>
            <a:endParaRPr lang="zh-TW" altLang="en-US" sz="11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6</xdr:col>
      <xdr:colOff>215462</xdr:colOff>
      <xdr:row>226</xdr:row>
      <xdr:rowOff>137954</xdr:rowOff>
    </xdr:from>
    <xdr:to>
      <xdr:col>11</xdr:col>
      <xdr:colOff>101162</xdr:colOff>
      <xdr:row>229</xdr:row>
      <xdr:rowOff>42505</xdr:rowOff>
    </xdr:to>
    <xdr:grpSp>
      <xdr:nvGrpSpPr>
        <xdr:cNvPr id="172" name="群組 171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GrpSpPr/>
      </xdr:nvGrpSpPr>
      <xdr:grpSpPr>
        <a:xfrm>
          <a:off x="4412177" y="45501719"/>
          <a:ext cx="2981325" cy="510341"/>
          <a:chOff x="1743074" y="904875"/>
          <a:chExt cx="2001600" cy="547057"/>
        </a:xfrm>
      </xdr:grpSpPr>
      <xdr:sp macro="" textlink="">
        <xdr:nvSpPr>
          <xdr:cNvPr id="173" name="文字方塊 172">
            <a:extLst>
              <a:ext uri="{FF2B5EF4-FFF2-40B4-BE49-F238E27FC236}">
                <a16:creationId xmlns:a16="http://schemas.microsoft.com/office/drawing/2014/main" id="{00000000-0008-0000-0500-0000AD000000}"/>
              </a:ext>
            </a:extLst>
          </xdr:cNvPr>
          <xdr:cNvSpPr txBox="1"/>
        </xdr:nvSpPr>
        <xdr:spPr>
          <a:xfrm>
            <a:off x="1746324" y="1015146"/>
            <a:ext cx="1972687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TW" sz="1100"/>
              <a:t>CarrierWaitOut()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TW" sz="1100"/>
              <a:t>CarrierID="XXXXXXXXX"</a:t>
            </a:r>
            <a:br>
              <a:rPr lang="en-US" altLang="zh-TW" sz="1100"/>
            </a:br>
            <a:r>
              <a:rPr lang="zh-TW" altLang="en-US" sz="1100"/>
              <a:t>通知電梯，人員已準備手動搬運架裝出電梯</a:t>
            </a:r>
            <a:endParaRPr lang="zh-TW" altLang="zh-TW">
              <a:effectLst/>
            </a:endParaRPr>
          </a:p>
        </xdr:txBody>
      </xdr:sp>
      <xdr:cxnSp macro="">
        <xdr:nvCxnSpPr>
          <xdr:cNvPr id="174" name="直線單箭頭接點 173">
            <a:extLst>
              <a:ext uri="{FF2B5EF4-FFF2-40B4-BE49-F238E27FC236}">
                <a16:creationId xmlns:a16="http://schemas.microsoft.com/office/drawing/2014/main" id="{00000000-0008-0000-0500-0000AE000000}"/>
              </a:ext>
            </a:extLst>
          </xdr:cNvPr>
          <xdr:cNvCxnSpPr/>
        </xdr:nvCxnSpPr>
        <xdr:spPr>
          <a:xfrm>
            <a:off x="1743074" y="904875"/>
            <a:ext cx="2001600" cy="0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5" name="直線單箭頭接點 174">
            <a:extLst>
              <a:ext uri="{FF2B5EF4-FFF2-40B4-BE49-F238E27FC236}">
                <a16:creationId xmlns:a16="http://schemas.microsoft.com/office/drawing/2014/main" id="{00000000-0008-0000-0500-0000AF000000}"/>
              </a:ext>
            </a:extLst>
          </xdr:cNvPr>
          <xdr:cNvCxnSpPr/>
        </xdr:nvCxnSpPr>
        <xdr:spPr>
          <a:xfrm rot="10800000" flipV="1">
            <a:off x="1743075" y="1024021"/>
            <a:ext cx="2000250" cy="2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13138</xdr:colOff>
      <xdr:row>66</xdr:row>
      <xdr:rowOff>12350</xdr:rowOff>
    </xdr:from>
    <xdr:to>
      <xdr:col>10</xdr:col>
      <xdr:colOff>615413</xdr:colOff>
      <xdr:row>68</xdr:row>
      <xdr:rowOff>99048</xdr:rowOff>
    </xdr:to>
    <xdr:grpSp>
      <xdr:nvGrpSpPr>
        <xdr:cNvPr id="176" name="群組 175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GrpSpPr/>
      </xdr:nvGrpSpPr>
      <xdr:grpSpPr>
        <a:xfrm>
          <a:off x="4217473" y="13265435"/>
          <a:ext cx="3076870" cy="479128"/>
          <a:chOff x="4204138" y="13126370"/>
          <a:chExt cx="3071155" cy="482938"/>
        </a:xfrm>
      </xdr:grpSpPr>
      <xdr:sp macro="" textlink="">
        <xdr:nvSpPr>
          <xdr:cNvPr id="177" name="文字方塊 176">
            <a:extLst>
              <a:ext uri="{FF2B5EF4-FFF2-40B4-BE49-F238E27FC236}">
                <a16:creationId xmlns:a16="http://schemas.microsoft.com/office/drawing/2014/main" id="{00000000-0008-0000-0500-0000B1000000}"/>
              </a:ext>
            </a:extLst>
          </xdr:cNvPr>
          <xdr:cNvSpPr txBox="1"/>
        </xdr:nvSpPr>
        <xdr:spPr>
          <a:xfrm>
            <a:off x="4261354" y="13204081"/>
            <a:ext cx="2985265" cy="40522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TW" sz="1100">
                <a:solidFill>
                  <a:sysClr val="windowText" lastClr="000000"/>
                </a:solidFill>
              </a:rPr>
              <a:t>LifterDoorOpenCompleted()</a:t>
            </a:r>
          </a:p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zh-TW" altLang="en-US" sz="1100">
                <a:solidFill>
                  <a:sysClr val="windowText" lastClr="000000"/>
                </a:solidFill>
              </a:rPr>
              <a:t>電梯開門完成</a:t>
            </a:r>
          </a:p>
        </xdr:txBody>
      </xdr:sp>
      <xdr:cxnSp macro="">
        <xdr:nvCxnSpPr>
          <xdr:cNvPr id="178" name="直線單箭頭接點 177">
            <a:extLst>
              <a:ext uri="{FF2B5EF4-FFF2-40B4-BE49-F238E27FC236}">
                <a16:creationId xmlns:a16="http://schemas.microsoft.com/office/drawing/2014/main" id="{00000000-0008-0000-0500-0000B2000000}"/>
              </a:ext>
            </a:extLst>
          </xdr:cNvPr>
          <xdr:cNvCxnSpPr/>
        </xdr:nvCxnSpPr>
        <xdr:spPr>
          <a:xfrm rot="10800000" flipV="1">
            <a:off x="4236983" y="13232262"/>
            <a:ext cx="3038310" cy="4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9" name="直線單箭頭接點 178">
            <a:extLst>
              <a:ext uri="{FF2B5EF4-FFF2-40B4-BE49-F238E27FC236}">
                <a16:creationId xmlns:a16="http://schemas.microsoft.com/office/drawing/2014/main" id="{00000000-0008-0000-0500-0000B3000000}"/>
              </a:ext>
            </a:extLst>
          </xdr:cNvPr>
          <xdr:cNvCxnSpPr/>
        </xdr:nvCxnSpPr>
        <xdr:spPr>
          <a:xfrm>
            <a:off x="4204138" y="13126370"/>
            <a:ext cx="3040361" cy="0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13876</xdr:colOff>
      <xdr:row>138</xdr:row>
      <xdr:rowOff>121595</xdr:rowOff>
    </xdr:from>
    <xdr:to>
      <xdr:col>11</xdr:col>
      <xdr:colOff>15504</xdr:colOff>
      <xdr:row>140</xdr:row>
      <xdr:rowOff>178945</xdr:rowOff>
    </xdr:to>
    <xdr:grpSp>
      <xdr:nvGrpSpPr>
        <xdr:cNvPr id="180" name="群組 179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GrpSpPr/>
      </xdr:nvGrpSpPr>
      <xdr:grpSpPr>
        <a:xfrm>
          <a:off x="4218211" y="27850775"/>
          <a:ext cx="3097253" cy="451685"/>
          <a:chOff x="1725997" y="904875"/>
          <a:chExt cx="2018677" cy="574920"/>
        </a:xfrm>
      </xdr:grpSpPr>
      <xdr:sp macro="" textlink="">
        <xdr:nvSpPr>
          <xdr:cNvPr id="181" name="文字方塊 180">
            <a:extLst>
              <a:ext uri="{FF2B5EF4-FFF2-40B4-BE49-F238E27FC236}">
                <a16:creationId xmlns:a16="http://schemas.microsoft.com/office/drawing/2014/main" id="{00000000-0008-0000-0500-0000B5000000}"/>
              </a:ext>
            </a:extLst>
          </xdr:cNvPr>
          <xdr:cNvSpPr txBox="1"/>
        </xdr:nvSpPr>
        <xdr:spPr>
          <a:xfrm>
            <a:off x="1725997" y="1043009"/>
            <a:ext cx="1838325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TW" sz="1100">
                <a:solidFill>
                  <a:srgbClr val="FF0000"/>
                </a:solidFill>
              </a:rPr>
              <a:t>AGVMovingInform()</a:t>
            </a:r>
            <a:br>
              <a:rPr lang="en-US" altLang="zh-TW" sz="1100">
                <a:solidFill>
                  <a:srgbClr val="FF0000"/>
                </a:solidFill>
              </a:rPr>
            </a:br>
            <a:r>
              <a:rPr lang="zh-TW" altLang="en-US" sz="1100">
                <a:solidFill>
                  <a:sysClr val="windowText" lastClr="000000"/>
                </a:solidFill>
              </a:rPr>
              <a:t>通知電梯</a:t>
            </a:r>
            <a:r>
              <a:rPr lang="en-US" altLang="zh-TW" sz="1100">
                <a:solidFill>
                  <a:sysClr val="windowText" lastClr="000000"/>
                </a:solidFill>
              </a:rPr>
              <a:t>AGV</a:t>
            </a:r>
            <a:r>
              <a:rPr lang="zh-TW" altLang="en-US" sz="1100">
                <a:solidFill>
                  <a:sysClr val="windowText" lastClr="000000"/>
                </a:solidFill>
              </a:rPr>
              <a:t>開始作業。</a:t>
            </a:r>
            <a:endParaRPr lang="zh-TW" altLang="zh-TW">
              <a:solidFill>
                <a:sysClr val="windowText" lastClr="000000"/>
              </a:solidFill>
              <a:effectLst/>
            </a:endParaRPr>
          </a:p>
        </xdr:txBody>
      </xdr:sp>
      <xdr:cxnSp macro="">
        <xdr:nvCxnSpPr>
          <xdr:cNvPr id="182" name="直線單箭頭接點 181">
            <a:extLst>
              <a:ext uri="{FF2B5EF4-FFF2-40B4-BE49-F238E27FC236}">
                <a16:creationId xmlns:a16="http://schemas.microsoft.com/office/drawing/2014/main" id="{00000000-0008-0000-0500-0000B6000000}"/>
              </a:ext>
            </a:extLst>
          </xdr:cNvPr>
          <xdr:cNvCxnSpPr/>
        </xdr:nvCxnSpPr>
        <xdr:spPr>
          <a:xfrm>
            <a:off x="1743074" y="904875"/>
            <a:ext cx="2001600" cy="0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3" name="直線單箭頭接點 182">
            <a:extLst>
              <a:ext uri="{FF2B5EF4-FFF2-40B4-BE49-F238E27FC236}">
                <a16:creationId xmlns:a16="http://schemas.microsoft.com/office/drawing/2014/main" id="{00000000-0008-0000-0500-0000B7000000}"/>
              </a:ext>
            </a:extLst>
          </xdr:cNvPr>
          <xdr:cNvCxnSpPr/>
        </xdr:nvCxnSpPr>
        <xdr:spPr>
          <a:xfrm rot="10800000" flipV="1">
            <a:off x="1743075" y="1019575"/>
            <a:ext cx="2000250" cy="3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594361</xdr:colOff>
      <xdr:row>144</xdr:row>
      <xdr:rowOff>170338</xdr:rowOff>
    </xdr:from>
    <xdr:to>
      <xdr:col>11</xdr:col>
      <xdr:colOff>30155</xdr:colOff>
      <xdr:row>147</xdr:row>
      <xdr:rowOff>33577</xdr:rowOff>
    </xdr:to>
    <xdr:grpSp>
      <xdr:nvGrpSpPr>
        <xdr:cNvPr id="184" name="群組 183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GrpSpPr/>
      </xdr:nvGrpSpPr>
      <xdr:grpSpPr>
        <a:xfrm>
          <a:off x="4171951" y="29101573"/>
          <a:ext cx="3152449" cy="457599"/>
          <a:chOff x="1725997" y="921872"/>
          <a:chExt cx="2031556" cy="601133"/>
        </a:xfrm>
      </xdr:grpSpPr>
      <xdr:sp macro="" textlink="">
        <xdr:nvSpPr>
          <xdr:cNvPr id="185" name="文字方塊 184">
            <a:extLst>
              <a:ext uri="{FF2B5EF4-FFF2-40B4-BE49-F238E27FC236}">
                <a16:creationId xmlns:a16="http://schemas.microsoft.com/office/drawing/2014/main" id="{00000000-0008-0000-0500-0000B9000000}"/>
              </a:ext>
            </a:extLst>
          </xdr:cNvPr>
          <xdr:cNvSpPr txBox="1"/>
        </xdr:nvSpPr>
        <xdr:spPr>
          <a:xfrm>
            <a:off x="1725997" y="1086216"/>
            <a:ext cx="1838325" cy="43678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TW" sz="1100">
                <a:solidFill>
                  <a:srgbClr val="FF0000"/>
                </a:solidFill>
              </a:rPr>
              <a:t>AGVOutLifterInform()</a:t>
            </a:r>
            <a:br>
              <a:rPr lang="en-US" altLang="zh-TW" sz="1100">
                <a:solidFill>
                  <a:srgbClr val="FF0000"/>
                </a:solidFill>
              </a:rPr>
            </a:br>
            <a:r>
              <a:rPr lang="zh-TW" altLang="en-US" sz="1100">
                <a:solidFill>
                  <a:sysClr val="windowText" lastClr="000000"/>
                </a:solidFill>
              </a:rPr>
              <a:t>通知電梯</a:t>
            </a:r>
            <a:r>
              <a:rPr lang="en-US" altLang="zh-TW" sz="1100">
                <a:solidFill>
                  <a:sysClr val="windowText" lastClr="000000"/>
                </a:solidFill>
              </a:rPr>
              <a:t>AGV</a:t>
            </a:r>
            <a:r>
              <a:rPr lang="zh-TW" altLang="en-US" sz="1100">
                <a:solidFill>
                  <a:sysClr val="windowText" lastClr="000000"/>
                </a:solidFill>
              </a:rPr>
              <a:t>已經離開</a:t>
            </a:r>
            <a:endParaRPr lang="zh-TW" altLang="zh-TW">
              <a:solidFill>
                <a:sysClr val="windowText" lastClr="000000"/>
              </a:solidFill>
              <a:effectLst/>
            </a:endParaRPr>
          </a:p>
        </xdr:txBody>
      </xdr:sp>
      <xdr:cxnSp macro="">
        <xdr:nvCxnSpPr>
          <xdr:cNvPr id="186" name="直線單箭頭接點 185">
            <a:extLst>
              <a:ext uri="{FF2B5EF4-FFF2-40B4-BE49-F238E27FC236}">
                <a16:creationId xmlns:a16="http://schemas.microsoft.com/office/drawing/2014/main" id="{00000000-0008-0000-0500-0000BA000000}"/>
              </a:ext>
            </a:extLst>
          </xdr:cNvPr>
          <xdr:cNvCxnSpPr/>
        </xdr:nvCxnSpPr>
        <xdr:spPr>
          <a:xfrm>
            <a:off x="1755953" y="921872"/>
            <a:ext cx="2001600" cy="0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7" name="直線單箭頭接點 186">
            <a:extLst>
              <a:ext uri="{FF2B5EF4-FFF2-40B4-BE49-F238E27FC236}">
                <a16:creationId xmlns:a16="http://schemas.microsoft.com/office/drawing/2014/main" id="{00000000-0008-0000-0500-0000BB000000}"/>
              </a:ext>
            </a:extLst>
          </xdr:cNvPr>
          <xdr:cNvCxnSpPr/>
        </xdr:nvCxnSpPr>
        <xdr:spPr>
          <a:xfrm rot="10800000" flipV="1">
            <a:off x="1743075" y="1060671"/>
            <a:ext cx="2000250" cy="3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233066</xdr:colOff>
      <xdr:row>208</xdr:row>
      <xdr:rowOff>116008</xdr:rowOff>
    </xdr:from>
    <xdr:to>
      <xdr:col>11</xdr:col>
      <xdr:colOff>109918</xdr:colOff>
      <xdr:row>211</xdr:row>
      <xdr:rowOff>99676</xdr:rowOff>
    </xdr:to>
    <xdr:grpSp>
      <xdr:nvGrpSpPr>
        <xdr:cNvPr id="188" name="群組 187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GrpSpPr/>
      </xdr:nvGrpSpPr>
      <xdr:grpSpPr>
        <a:xfrm>
          <a:off x="4435496" y="41873608"/>
          <a:ext cx="2968667" cy="579933"/>
          <a:chOff x="5726399" y="9029700"/>
          <a:chExt cx="2009251" cy="571251"/>
        </a:xfrm>
      </xdr:grpSpPr>
      <xdr:sp macro="" textlink="">
        <xdr:nvSpPr>
          <xdr:cNvPr id="189" name="文字方塊 188">
            <a:extLst>
              <a:ext uri="{FF2B5EF4-FFF2-40B4-BE49-F238E27FC236}">
                <a16:creationId xmlns:a16="http://schemas.microsoft.com/office/drawing/2014/main" id="{00000000-0008-0000-0500-0000BD000000}"/>
              </a:ext>
            </a:extLst>
          </xdr:cNvPr>
          <xdr:cNvSpPr txBox="1"/>
        </xdr:nvSpPr>
        <xdr:spPr>
          <a:xfrm>
            <a:off x="5726399" y="9164165"/>
            <a:ext cx="1952283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CarrierReportEvent()</a:t>
            </a:r>
          </a:p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CarrierID="XXXXXXXXX",EventType="Load"</a:t>
            </a:r>
            <a:br>
              <a:rPr lang="en-US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zh-TW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通知架裝入梯完成</a:t>
            </a:r>
            <a:endParaRPr lang="zh-TW" altLang="en-US" sz="1100"/>
          </a:p>
        </xdr:txBody>
      </xdr:sp>
      <xdr:cxnSp macro="">
        <xdr:nvCxnSpPr>
          <xdr:cNvPr id="190" name="直線單箭頭接點 189">
            <a:extLst>
              <a:ext uri="{FF2B5EF4-FFF2-40B4-BE49-F238E27FC236}">
                <a16:creationId xmlns:a16="http://schemas.microsoft.com/office/drawing/2014/main" id="{00000000-0008-0000-0500-0000BE000000}"/>
              </a:ext>
            </a:extLst>
          </xdr:cNvPr>
          <xdr:cNvCxnSpPr/>
        </xdr:nvCxnSpPr>
        <xdr:spPr>
          <a:xfrm>
            <a:off x="5734050" y="9029700"/>
            <a:ext cx="2001600" cy="0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1" name="直線單箭頭接點 190">
            <a:extLst>
              <a:ext uri="{FF2B5EF4-FFF2-40B4-BE49-F238E27FC236}">
                <a16:creationId xmlns:a16="http://schemas.microsoft.com/office/drawing/2014/main" id="{00000000-0008-0000-0500-0000BF000000}"/>
              </a:ext>
            </a:extLst>
          </xdr:cNvPr>
          <xdr:cNvCxnSpPr/>
        </xdr:nvCxnSpPr>
        <xdr:spPr>
          <a:xfrm rot="10800000" flipV="1">
            <a:off x="5734051" y="9115425"/>
            <a:ext cx="2000250" cy="2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430530</xdr:colOff>
      <xdr:row>243</xdr:row>
      <xdr:rowOff>0</xdr:rowOff>
    </xdr:from>
    <xdr:to>
      <xdr:col>15</xdr:col>
      <xdr:colOff>0</xdr:colOff>
      <xdr:row>244</xdr:row>
      <xdr:rowOff>152400</xdr:rowOff>
    </xdr:to>
    <xdr:grpSp>
      <xdr:nvGrpSpPr>
        <xdr:cNvPr id="192" name="群組 191">
          <a:extLst>
            <a:ext uri="{FF2B5EF4-FFF2-40B4-BE49-F238E27FC236}">
              <a16:creationId xmlns:a16="http://schemas.microsoft.com/office/drawing/2014/main" id="{00000000-0008-0000-0500-0000C0000000}"/>
            </a:ext>
          </a:extLst>
        </xdr:cNvPr>
        <xdr:cNvGrpSpPr/>
      </xdr:nvGrpSpPr>
      <xdr:grpSpPr>
        <a:xfrm>
          <a:off x="2158365" y="48768000"/>
          <a:ext cx="7814310" cy="352425"/>
          <a:chOff x="2722245" y="403860"/>
          <a:chExt cx="7357110" cy="350520"/>
        </a:xfrm>
      </xdr:grpSpPr>
      <xdr:sp macro="" textlink="">
        <xdr:nvSpPr>
          <xdr:cNvPr id="193" name="矩形 192">
            <a:extLst>
              <a:ext uri="{FF2B5EF4-FFF2-40B4-BE49-F238E27FC236}">
                <a16:creationId xmlns:a16="http://schemas.microsoft.com/office/drawing/2014/main" id="{00000000-0008-0000-0500-0000C1000000}"/>
              </a:ext>
            </a:extLst>
          </xdr:cNvPr>
          <xdr:cNvSpPr/>
        </xdr:nvSpPr>
        <xdr:spPr>
          <a:xfrm>
            <a:off x="4278630" y="403860"/>
            <a:ext cx="98679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MCS</a:t>
            </a:r>
            <a:endParaRPr lang="zh-TW" altLang="en-US" sz="1100"/>
          </a:p>
        </xdr:txBody>
      </xdr:sp>
      <xdr:sp macro="" textlink="">
        <xdr:nvSpPr>
          <xdr:cNvPr id="194" name="矩形 193">
            <a:extLst>
              <a:ext uri="{FF2B5EF4-FFF2-40B4-BE49-F238E27FC236}">
                <a16:creationId xmlns:a16="http://schemas.microsoft.com/office/drawing/2014/main" id="{00000000-0008-0000-0500-0000C2000000}"/>
              </a:ext>
            </a:extLst>
          </xdr:cNvPr>
          <xdr:cNvSpPr/>
        </xdr:nvSpPr>
        <xdr:spPr>
          <a:xfrm>
            <a:off x="7307281" y="403860"/>
            <a:ext cx="96012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Lifter</a:t>
            </a:r>
          </a:p>
        </xdr:txBody>
      </xdr:sp>
      <xdr:sp macro="" textlink="">
        <xdr:nvSpPr>
          <xdr:cNvPr id="195" name="矩形 194">
            <a:extLst>
              <a:ext uri="{FF2B5EF4-FFF2-40B4-BE49-F238E27FC236}">
                <a16:creationId xmlns:a16="http://schemas.microsoft.com/office/drawing/2014/main" id="{00000000-0008-0000-0500-0000C3000000}"/>
              </a:ext>
            </a:extLst>
          </xdr:cNvPr>
          <xdr:cNvSpPr/>
        </xdr:nvSpPr>
        <xdr:spPr>
          <a:xfrm>
            <a:off x="9187815" y="403860"/>
            <a:ext cx="89154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AGVC</a:t>
            </a:r>
            <a:endParaRPr lang="zh-TW" altLang="en-US" sz="1100"/>
          </a:p>
        </xdr:txBody>
      </xdr:sp>
      <xdr:sp macro="" textlink="">
        <xdr:nvSpPr>
          <xdr:cNvPr id="196" name="矩形 195">
            <a:extLst>
              <a:ext uri="{FF2B5EF4-FFF2-40B4-BE49-F238E27FC236}">
                <a16:creationId xmlns:a16="http://schemas.microsoft.com/office/drawing/2014/main" id="{00000000-0008-0000-0500-0000C4000000}"/>
              </a:ext>
            </a:extLst>
          </xdr:cNvPr>
          <xdr:cNvSpPr/>
        </xdr:nvSpPr>
        <xdr:spPr>
          <a:xfrm>
            <a:off x="2722245" y="403860"/>
            <a:ext cx="891540" cy="340995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DCS</a:t>
            </a:r>
            <a:endParaRPr lang="zh-TW" altLang="en-US" sz="1100"/>
          </a:p>
        </xdr:txBody>
      </xdr:sp>
    </xdr:grpSp>
    <xdr:clientData/>
  </xdr:twoCellAnchor>
  <xdr:twoCellAnchor>
    <xdr:from>
      <xdr:col>3</xdr:col>
      <xdr:colOff>255269</xdr:colOff>
      <xdr:row>244</xdr:row>
      <xdr:rowOff>140969</xdr:rowOff>
    </xdr:from>
    <xdr:to>
      <xdr:col>14</xdr:col>
      <xdr:colOff>145519</xdr:colOff>
      <xdr:row>251</xdr:row>
      <xdr:rowOff>50800</xdr:rowOff>
    </xdr:to>
    <xdr:grpSp>
      <xdr:nvGrpSpPr>
        <xdr:cNvPr id="197" name="群組 196">
          <a:extLst>
            <a:ext uri="{FF2B5EF4-FFF2-40B4-BE49-F238E27FC236}">
              <a16:creationId xmlns:a16="http://schemas.microsoft.com/office/drawing/2014/main" id="{00000000-0008-0000-0500-0000C5000000}"/>
            </a:ext>
          </a:extLst>
        </xdr:cNvPr>
        <xdr:cNvGrpSpPr/>
      </xdr:nvGrpSpPr>
      <xdr:grpSpPr>
        <a:xfrm>
          <a:off x="2594609" y="49105184"/>
          <a:ext cx="6902555" cy="1317626"/>
          <a:chOff x="3168013" y="752060"/>
          <a:chExt cx="6897392" cy="4592236"/>
        </a:xfrm>
      </xdr:grpSpPr>
      <xdr:cxnSp macro="">
        <xdr:nvCxnSpPr>
          <xdr:cNvPr id="198" name="直線接點 197">
            <a:extLst>
              <a:ext uri="{FF2B5EF4-FFF2-40B4-BE49-F238E27FC236}">
                <a16:creationId xmlns:a16="http://schemas.microsoft.com/office/drawing/2014/main" id="{00000000-0008-0000-0500-0000C6000000}"/>
              </a:ext>
            </a:extLst>
          </xdr:cNvPr>
          <xdr:cNvCxnSpPr>
            <a:stCxn id="193" idx="2"/>
          </xdr:cNvCxnSpPr>
        </xdr:nvCxnSpPr>
        <xdr:spPr>
          <a:xfrm flipH="1">
            <a:off x="4897373" y="793297"/>
            <a:ext cx="4187" cy="4459368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9" name="直線接點 198">
            <a:extLst>
              <a:ext uri="{FF2B5EF4-FFF2-40B4-BE49-F238E27FC236}">
                <a16:creationId xmlns:a16="http://schemas.microsoft.com/office/drawing/2014/main" id="{00000000-0008-0000-0500-0000C7000000}"/>
              </a:ext>
            </a:extLst>
          </xdr:cNvPr>
          <xdr:cNvCxnSpPr>
            <a:stCxn id="194" idx="2"/>
          </xdr:cNvCxnSpPr>
        </xdr:nvCxnSpPr>
        <xdr:spPr>
          <a:xfrm flipH="1">
            <a:off x="8087162" y="793297"/>
            <a:ext cx="17203" cy="4550999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0" name="直線接點 199">
            <a:extLst>
              <a:ext uri="{FF2B5EF4-FFF2-40B4-BE49-F238E27FC236}">
                <a16:creationId xmlns:a16="http://schemas.microsoft.com/office/drawing/2014/main" id="{00000000-0008-0000-0500-0000C8000000}"/>
              </a:ext>
            </a:extLst>
          </xdr:cNvPr>
          <xdr:cNvCxnSpPr>
            <a:stCxn id="195" idx="2"/>
          </xdr:cNvCxnSpPr>
        </xdr:nvCxnSpPr>
        <xdr:spPr>
          <a:xfrm flipH="1">
            <a:off x="10055333" y="793297"/>
            <a:ext cx="10072" cy="4520455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1" name="直線接點 200">
            <a:extLst>
              <a:ext uri="{FF2B5EF4-FFF2-40B4-BE49-F238E27FC236}">
                <a16:creationId xmlns:a16="http://schemas.microsoft.com/office/drawing/2014/main" id="{00000000-0008-0000-0500-0000C9000000}"/>
              </a:ext>
            </a:extLst>
          </xdr:cNvPr>
          <xdr:cNvCxnSpPr>
            <a:stCxn id="196" idx="2"/>
          </xdr:cNvCxnSpPr>
        </xdr:nvCxnSpPr>
        <xdr:spPr>
          <a:xfrm flipH="1">
            <a:off x="3168013" y="752060"/>
            <a:ext cx="29702" cy="4544816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231140</xdr:colOff>
      <xdr:row>248</xdr:row>
      <xdr:rowOff>47623</xdr:rowOff>
    </xdr:from>
    <xdr:to>
      <xdr:col>11</xdr:col>
      <xdr:colOff>190289</xdr:colOff>
      <xdr:row>251</xdr:row>
      <xdr:rowOff>1</xdr:rowOff>
    </xdr:to>
    <xdr:grpSp>
      <xdr:nvGrpSpPr>
        <xdr:cNvPr id="202" name="群組 201">
          <a:extLst>
            <a:ext uri="{FF2B5EF4-FFF2-40B4-BE49-F238E27FC236}">
              <a16:creationId xmlns:a16="http://schemas.microsoft.com/office/drawing/2014/main" id="{00000000-0008-0000-0500-0000CA000000}"/>
            </a:ext>
          </a:extLst>
        </xdr:cNvPr>
        <xdr:cNvGrpSpPr/>
      </xdr:nvGrpSpPr>
      <xdr:grpSpPr>
        <a:xfrm>
          <a:off x="4431665" y="49817653"/>
          <a:ext cx="3054774" cy="550548"/>
          <a:chOff x="1743074" y="904875"/>
          <a:chExt cx="2001600" cy="251338"/>
        </a:xfrm>
      </xdr:grpSpPr>
      <xdr:sp macro="" textlink="">
        <xdr:nvSpPr>
          <xdr:cNvPr id="203" name="文字方塊 202">
            <a:extLst>
              <a:ext uri="{FF2B5EF4-FFF2-40B4-BE49-F238E27FC236}">
                <a16:creationId xmlns:a16="http://schemas.microsoft.com/office/drawing/2014/main" id="{00000000-0008-0000-0500-0000CB000000}"/>
              </a:ext>
            </a:extLst>
          </xdr:cNvPr>
          <xdr:cNvSpPr txBox="1"/>
        </xdr:nvSpPr>
        <xdr:spPr>
          <a:xfrm>
            <a:off x="1775659" y="957626"/>
            <a:ext cx="1838325" cy="19858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algn="r"/>
            <a:r>
              <a:rPr lang="en-US" altLang="zh-TW" sz="1100"/>
              <a:t>AliveReport()</a:t>
            </a:r>
          </a:p>
          <a:p>
            <a:pPr algn="r"/>
            <a:r>
              <a:rPr lang="en-US" altLang="zh-TW" sz="1100"/>
              <a:t>Lifter</a:t>
            </a:r>
            <a:r>
              <a:rPr lang="zh-TW" altLang="en-US" sz="1100"/>
              <a:t>主動定時上報</a:t>
            </a:r>
          </a:p>
        </xdr:txBody>
      </xdr:sp>
      <xdr:cxnSp macro="">
        <xdr:nvCxnSpPr>
          <xdr:cNvPr id="204" name="直線單箭頭接點 203">
            <a:extLst>
              <a:ext uri="{FF2B5EF4-FFF2-40B4-BE49-F238E27FC236}">
                <a16:creationId xmlns:a16="http://schemas.microsoft.com/office/drawing/2014/main" id="{00000000-0008-0000-0500-0000CC000000}"/>
              </a:ext>
            </a:extLst>
          </xdr:cNvPr>
          <xdr:cNvCxnSpPr/>
        </xdr:nvCxnSpPr>
        <xdr:spPr>
          <a:xfrm>
            <a:off x="1743074" y="904875"/>
            <a:ext cx="2001600" cy="0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5" name="直線單箭頭接點 204">
            <a:extLst>
              <a:ext uri="{FF2B5EF4-FFF2-40B4-BE49-F238E27FC236}">
                <a16:creationId xmlns:a16="http://schemas.microsoft.com/office/drawing/2014/main" id="{00000000-0008-0000-0500-0000CD000000}"/>
              </a:ext>
            </a:extLst>
          </xdr:cNvPr>
          <xdr:cNvCxnSpPr/>
        </xdr:nvCxnSpPr>
        <xdr:spPr>
          <a:xfrm rot="10800000" flipV="1">
            <a:off x="1743075" y="960145"/>
            <a:ext cx="2000250" cy="2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0</xdr:colOff>
      <xdr:row>151</xdr:row>
      <xdr:rowOff>0</xdr:rowOff>
    </xdr:from>
    <xdr:to>
      <xdr:col>14</xdr:col>
      <xdr:colOff>367953</xdr:colOff>
      <xdr:row>152</xdr:row>
      <xdr:rowOff>152400</xdr:rowOff>
    </xdr:to>
    <xdr:grpSp>
      <xdr:nvGrpSpPr>
        <xdr:cNvPr id="206" name="群組 205">
          <a:extLst>
            <a:ext uri="{FF2B5EF4-FFF2-40B4-BE49-F238E27FC236}">
              <a16:creationId xmlns:a16="http://schemas.microsoft.com/office/drawing/2014/main" id="{00000000-0008-0000-0500-0000CE000000}"/>
            </a:ext>
          </a:extLst>
        </xdr:cNvPr>
        <xdr:cNvGrpSpPr/>
      </xdr:nvGrpSpPr>
      <xdr:grpSpPr>
        <a:xfrm>
          <a:off x="2343150" y="30337125"/>
          <a:ext cx="7374543" cy="352425"/>
          <a:chOff x="2722245" y="403860"/>
          <a:chExt cx="7357110" cy="350520"/>
        </a:xfrm>
      </xdr:grpSpPr>
      <xdr:sp macro="" textlink="">
        <xdr:nvSpPr>
          <xdr:cNvPr id="207" name="矩形 206">
            <a:extLst>
              <a:ext uri="{FF2B5EF4-FFF2-40B4-BE49-F238E27FC236}">
                <a16:creationId xmlns:a16="http://schemas.microsoft.com/office/drawing/2014/main" id="{00000000-0008-0000-0500-0000CF000000}"/>
              </a:ext>
            </a:extLst>
          </xdr:cNvPr>
          <xdr:cNvSpPr/>
        </xdr:nvSpPr>
        <xdr:spPr>
          <a:xfrm>
            <a:off x="4278630" y="403860"/>
            <a:ext cx="920115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MCS</a:t>
            </a:r>
            <a:endParaRPr lang="zh-TW" altLang="en-US" sz="1100"/>
          </a:p>
        </xdr:txBody>
      </xdr:sp>
      <xdr:sp macro="" textlink="">
        <xdr:nvSpPr>
          <xdr:cNvPr id="208" name="矩形 207">
            <a:extLst>
              <a:ext uri="{FF2B5EF4-FFF2-40B4-BE49-F238E27FC236}">
                <a16:creationId xmlns:a16="http://schemas.microsoft.com/office/drawing/2014/main" id="{00000000-0008-0000-0500-0000D0000000}"/>
              </a:ext>
            </a:extLst>
          </xdr:cNvPr>
          <xdr:cNvSpPr/>
        </xdr:nvSpPr>
        <xdr:spPr>
          <a:xfrm>
            <a:off x="7355205" y="403860"/>
            <a:ext cx="96012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Lifter</a:t>
            </a:r>
          </a:p>
        </xdr:txBody>
      </xdr:sp>
      <xdr:sp macro="" textlink="">
        <xdr:nvSpPr>
          <xdr:cNvPr id="209" name="矩形 208">
            <a:extLst>
              <a:ext uri="{FF2B5EF4-FFF2-40B4-BE49-F238E27FC236}">
                <a16:creationId xmlns:a16="http://schemas.microsoft.com/office/drawing/2014/main" id="{00000000-0008-0000-0500-0000D1000000}"/>
              </a:ext>
            </a:extLst>
          </xdr:cNvPr>
          <xdr:cNvSpPr/>
        </xdr:nvSpPr>
        <xdr:spPr>
          <a:xfrm>
            <a:off x="9187815" y="403860"/>
            <a:ext cx="89154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AGVC</a:t>
            </a:r>
            <a:endParaRPr lang="zh-TW" altLang="en-US" sz="1100"/>
          </a:p>
        </xdr:txBody>
      </xdr:sp>
      <xdr:sp macro="" textlink="">
        <xdr:nvSpPr>
          <xdr:cNvPr id="210" name="矩形 209">
            <a:extLst>
              <a:ext uri="{FF2B5EF4-FFF2-40B4-BE49-F238E27FC236}">
                <a16:creationId xmlns:a16="http://schemas.microsoft.com/office/drawing/2014/main" id="{00000000-0008-0000-0500-0000D2000000}"/>
              </a:ext>
            </a:extLst>
          </xdr:cNvPr>
          <xdr:cNvSpPr/>
        </xdr:nvSpPr>
        <xdr:spPr>
          <a:xfrm>
            <a:off x="2722245" y="403860"/>
            <a:ext cx="891540" cy="340995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DCS</a:t>
            </a:r>
            <a:endParaRPr lang="zh-TW" altLang="en-US" sz="1100"/>
          </a:p>
        </xdr:txBody>
      </xdr:sp>
    </xdr:grpSp>
    <xdr:clientData/>
  </xdr:twoCellAnchor>
  <xdr:twoCellAnchor>
    <xdr:from>
      <xdr:col>3</xdr:col>
      <xdr:colOff>466725</xdr:colOff>
      <xdr:row>153</xdr:row>
      <xdr:rowOff>28575</xdr:rowOff>
    </xdr:from>
    <xdr:to>
      <xdr:col>13</xdr:col>
      <xdr:colOff>436819</xdr:colOff>
      <xdr:row>168</xdr:row>
      <xdr:rowOff>28575</xdr:rowOff>
    </xdr:to>
    <xdr:grpSp>
      <xdr:nvGrpSpPr>
        <xdr:cNvPr id="211" name="群組 210">
          <a:extLst>
            <a:ext uri="{FF2B5EF4-FFF2-40B4-BE49-F238E27FC236}">
              <a16:creationId xmlns:a16="http://schemas.microsoft.com/office/drawing/2014/main" id="{00000000-0008-0000-0500-0000D3000000}"/>
            </a:ext>
          </a:extLst>
        </xdr:cNvPr>
        <xdr:cNvGrpSpPr/>
      </xdr:nvGrpSpPr>
      <xdr:grpSpPr>
        <a:xfrm>
          <a:off x="2811780" y="30763845"/>
          <a:ext cx="6363274" cy="3000375"/>
          <a:chOff x="3158489" y="5732146"/>
          <a:chExt cx="6465570" cy="5715074"/>
        </a:xfrm>
      </xdr:grpSpPr>
      <xdr:cxnSp macro="">
        <xdr:nvCxnSpPr>
          <xdr:cNvPr id="212" name="直線接點 211">
            <a:extLst>
              <a:ext uri="{FF2B5EF4-FFF2-40B4-BE49-F238E27FC236}">
                <a16:creationId xmlns:a16="http://schemas.microsoft.com/office/drawing/2014/main" id="{00000000-0008-0000-0500-0000D4000000}"/>
              </a:ext>
            </a:extLst>
          </xdr:cNvPr>
          <xdr:cNvCxnSpPr/>
        </xdr:nvCxnSpPr>
        <xdr:spPr>
          <a:xfrm rot="5400000">
            <a:off x="1922181" y="8594049"/>
            <a:ext cx="5704755" cy="1588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3" name="直線接點 212">
            <a:extLst>
              <a:ext uri="{FF2B5EF4-FFF2-40B4-BE49-F238E27FC236}">
                <a16:creationId xmlns:a16="http://schemas.microsoft.com/office/drawing/2014/main" id="{00000000-0008-0000-0500-0000D5000000}"/>
              </a:ext>
            </a:extLst>
          </xdr:cNvPr>
          <xdr:cNvCxnSpPr/>
        </xdr:nvCxnSpPr>
        <xdr:spPr>
          <a:xfrm rot="5400000">
            <a:off x="4986064" y="8594049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4" name="直線接點 213">
            <a:extLst>
              <a:ext uri="{FF2B5EF4-FFF2-40B4-BE49-F238E27FC236}">
                <a16:creationId xmlns:a16="http://schemas.microsoft.com/office/drawing/2014/main" id="{00000000-0008-0000-0500-0000D6000000}"/>
              </a:ext>
            </a:extLst>
          </xdr:cNvPr>
          <xdr:cNvCxnSpPr/>
        </xdr:nvCxnSpPr>
        <xdr:spPr>
          <a:xfrm rot="5400000">
            <a:off x="6771681" y="8594049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5" name="直線接點 214">
            <a:extLst>
              <a:ext uri="{FF2B5EF4-FFF2-40B4-BE49-F238E27FC236}">
                <a16:creationId xmlns:a16="http://schemas.microsoft.com/office/drawing/2014/main" id="{00000000-0008-0000-0500-0000D7000000}"/>
              </a:ext>
            </a:extLst>
          </xdr:cNvPr>
          <xdr:cNvCxnSpPr/>
        </xdr:nvCxnSpPr>
        <xdr:spPr>
          <a:xfrm rot="5400000">
            <a:off x="306111" y="8584524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88531</xdr:colOff>
      <xdr:row>156</xdr:row>
      <xdr:rowOff>95250</xdr:rowOff>
    </xdr:from>
    <xdr:to>
      <xdr:col>13</xdr:col>
      <xdr:colOff>549527</xdr:colOff>
      <xdr:row>158</xdr:row>
      <xdr:rowOff>115258</xdr:rowOff>
    </xdr:to>
    <xdr:grpSp>
      <xdr:nvGrpSpPr>
        <xdr:cNvPr id="216" name="群組 215">
          <a:extLst>
            <a:ext uri="{FF2B5EF4-FFF2-40B4-BE49-F238E27FC236}">
              <a16:creationId xmlns:a16="http://schemas.microsoft.com/office/drawing/2014/main" id="{00000000-0008-0000-0500-0000D8000000}"/>
            </a:ext>
          </a:extLst>
        </xdr:cNvPr>
        <xdr:cNvGrpSpPr/>
      </xdr:nvGrpSpPr>
      <xdr:grpSpPr>
        <a:xfrm>
          <a:off x="7388491" y="31428690"/>
          <a:ext cx="1899271" cy="423868"/>
          <a:chOff x="10323419" y="54983675"/>
          <a:chExt cx="1891651" cy="420058"/>
        </a:xfrm>
      </xdr:grpSpPr>
      <xdr:sp macro="" textlink="">
        <xdr:nvSpPr>
          <xdr:cNvPr id="217" name="矩形 216">
            <a:extLst>
              <a:ext uri="{FF2B5EF4-FFF2-40B4-BE49-F238E27FC236}">
                <a16:creationId xmlns:a16="http://schemas.microsoft.com/office/drawing/2014/main" id="{00000000-0008-0000-0500-0000D9000000}"/>
              </a:ext>
            </a:extLst>
          </xdr:cNvPr>
          <xdr:cNvSpPr/>
        </xdr:nvSpPr>
        <xdr:spPr>
          <a:xfrm>
            <a:off x="10323419" y="55090467"/>
            <a:ext cx="57150" cy="14287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zh-TW" altLang="en-US" sz="1100"/>
          </a:p>
        </xdr:txBody>
      </xdr:sp>
      <xdr:cxnSp macro="">
        <xdr:nvCxnSpPr>
          <xdr:cNvPr id="218" name="圖案 303">
            <a:extLst>
              <a:ext uri="{FF2B5EF4-FFF2-40B4-BE49-F238E27FC236}">
                <a16:creationId xmlns:a16="http://schemas.microsoft.com/office/drawing/2014/main" id="{00000000-0008-0000-0500-0000DA000000}"/>
              </a:ext>
            </a:extLst>
          </xdr:cNvPr>
          <xdr:cNvCxnSpPr/>
        </xdr:nvCxnSpPr>
        <xdr:spPr>
          <a:xfrm rot="5400000" flipH="1">
            <a:off x="10288176" y="55161905"/>
            <a:ext cx="142876" cy="1588"/>
          </a:xfrm>
          <a:prstGeom prst="curvedConnector5">
            <a:avLst>
              <a:gd name="adj1" fmla="val -159999"/>
              <a:gd name="adj2" fmla="val -14854161"/>
              <a:gd name="adj3" fmla="val 259999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9" name="文字方塊 218">
            <a:extLst>
              <a:ext uri="{FF2B5EF4-FFF2-40B4-BE49-F238E27FC236}">
                <a16:creationId xmlns:a16="http://schemas.microsoft.com/office/drawing/2014/main" id="{00000000-0008-0000-0500-0000DB000000}"/>
              </a:ext>
            </a:extLst>
          </xdr:cNvPr>
          <xdr:cNvSpPr txBox="1"/>
        </xdr:nvSpPr>
        <xdr:spPr>
          <a:xfrm>
            <a:off x="10581938" y="54983675"/>
            <a:ext cx="1633132" cy="4200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r>
              <a:rPr lang="zh-TW" altLang="en-US" sz="1100"/>
              <a:t>異常報警發生</a:t>
            </a:r>
            <a:endParaRPr lang="en-US" altLang="zh-TW" sz="1100"/>
          </a:p>
        </xdr:txBody>
      </xdr:sp>
    </xdr:grpSp>
    <xdr:clientData/>
  </xdr:twoCellAnchor>
  <xdr:twoCellAnchor>
    <xdr:from>
      <xdr:col>6</xdr:col>
      <xdr:colOff>228600</xdr:colOff>
      <xdr:row>157</xdr:row>
      <xdr:rowOff>74402</xdr:rowOff>
    </xdr:from>
    <xdr:to>
      <xdr:col>11</xdr:col>
      <xdr:colOff>92117</xdr:colOff>
      <xdr:row>160</xdr:row>
      <xdr:rowOff>3001</xdr:rowOff>
    </xdr:to>
    <xdr:grpSp>
      <xdr:nvGrpSpPr>
        <xdr:cNvPr id="220" name="群組 219">
          <a:extLst>
            <a:ext uri="{FF2B5EF4-FFF2-40B4-BE49-F238E27FC236}">
              <a16:creationId xmlns:a16="http://schemas.microsoft.com/office/drawing/2014/main" id="{00000000-0008-0000-0500-0000DC000000}"/>
            </a:ext>
          </a:extLst>
        </xdr:cNvPr>
        <xdr:cNvGrpSpPr/>
      </xdr:nvGrpSpPr>
      <xdr:grpSpPr>
        <a:xfrm>
          <a:off x="4429125" y="31611677"/>
          <a:ext cx="2962952" cy="528674"/>
          <a:chOff x="5726399" y="9029700"/>
          <a:chExt cx="2009251" cy="571251"/>
        </a:xfrm>
      </xdr:grpSpPr>
      <xdr:sp macro="" textlink="">
        <xdr:nvSpPr>
          <xdr:cNvPr id="221" name="文字方塊 220">
            <a:extLst>
              <a:ext uri="{FF2B5EF4-FFF2-40B4-BE49-F238E27FC236}">
                <a16:creationId xmlns:a16="http://schemas.microsoft.com/office/drawing/2014/main" id="{00000000-0008-0000-0500-0000DD000000}"/>
              </a:ext>
            </a:extLst>
          </xdr:cNvPr>
          <xdr:cNvSpPr txBox="1"/>
        </xdr:nvSpPr>
        <xdr:spPr>
          <a:xfrm>
            <a:off x="5726399" y="9164165"/>
            <a:ext cx="1952283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algn="r"/>
            <a:r>
              <a:rPr lang="en-US" altLang="zh-TW" sz="1100"/>
              <a:t>AlarmReport()</a:t>
            </a:r>
            <a:br>
              <a:rPr lang="en-US" altLang="zh-TW" sz="1100"/>
            </a:br>
            <a:r>
              <a:rPr lang="zh-TW" altLang="en-US" sz="1100"/>
              <a:t>回報異常訊息</a:t>
            </a:r>
          </a:p>
        </xdr:txBody>
      </xdr:sp>
      <xdr:cxnSp macro="">
        <xdr:nvCxnSpPr>
          <xdr:cNvPr id="222" name="直線單箭頭接點 221">
            <a:extLst>
              <a:ext uri="{FF2B5EF4-FFF2-40B4-BE49-F238E27FC236}">
                <a16:creationId xmlns:a16="http://schemas.microsoft.com/office/drawing/2014/main" id="{00000000-0008-0000-0500-0000DE000000}"/>
              </a:ext>
            </a:extLst>
          </xdr:cNvPr>
          <xdr:cNvCxnSpPr/>
        </xdr:nvCxnSpPr>
        <xdr:spPr>
          <a:xfrm>
            <a:off x="5734050" y="9029700"/>
            <a:ext cx="2001600" cy="0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3" name="直線單箭頭接點 222">
            <a:extLst>
              <a:ext uri="{FF2B5EF4-FFF2-40B4-BE49-F238E27FC236}">
                <a16:creationId xmlns:a16="http://schemas.microsoft.com/office/drawing/2014/main" id="{00000000-0008-0000-0500-0000DF000000}"/>
              </a:ext>
            </a:extLst>
          </xdr:cNvPr>
          <xdr:cNvCxnSpPr/>
        </xdr:nvCxnSpPr>
        <xdr:spPr>
          <a:xfrm rot="10800000" flipV="1">
            <a:off x="5734051" y="9115425"/>
            <a:ext cx="2000250" cy="2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180976</xdr:colOff>
      <xdr:row>164</xdr:row>
      <xdr:rowOff>9525</xdr:rowOff>
    </xdr:from>
    <xdr:to>
      <xdr:col>11</xdr:col>
      <xdr:colOff>104776</xdr:colOff>
      <xdr:row>166</xdr:row>
      <xdr:rowOff>130529</xdr:rowOff>
    </xdr:to>
    <xdr:grpSp>
      <xdr:nvGrpSpPr>
        <xdr:cNvPr id="224" name="群組 223">
          <a:extLst>
            <a:ext uri="{FF2B5EF4-FFF2-40B4-BE49-F238E27FC236}">
              <a16:creationId xmlns:a16="http://schemas.microsoft.com/office/drawing/2014/main" id="{00000000-0008-0000-0500-0000E0000000}"/>
            </a:ext>
          </a:extLst>
        </xdr:cNvPr>
        <xdr:cNvGrpSpPr/>
      </xdr:nvGrpSpPr>
      <xdr:grpSpPr>
        <a:xfrm>
          <a:off x="4379596" y="32948880"/>
          <a:ext cx="3019425" cy="522959"/>
          <a:chOff x="5726399" y="9029700"/>
          <a:chExt cx="2009251" cy="571251"/>
        </a:xfrm>
      </xdr:grpSpPr>
      <xdr:sp macro="" textlink="">
        <xdr:nvSpPr>
          <xdr:cNvPr id="225" name="文字方塊 224">
            <a:extLst>
              <a:ext uri="{FF2B5EF4-FFF2-40B4-BE49-F238E27FC236}">
                <a16:creationId xmlns:a16="http://schemas.microsoft.com/office/drawing/2014/main" id="{00000000-0008-0000-0500-0000E1000000}"/>
              </a:ext>
            </a:extLst>
          </xdr:cNvPr>
          <xdr:cNvSpPr txBox="1"/>
        </xdr:nvSpPr>
        <xdr:spPr>
          <a:xfrm>
            <a:off x="5726399" y="9164165"/>
            <a:ext cx="1952283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algn="r"/>
            <a:r>
              <a:rPr lang="en-US" altLang="zh-TW" sz="1100"/>
              <a:t>AlarmReport()</a:t>
            </a:r>
            <a:br>
              <a:rPr lang="en-US" altLang="zh-TW" sz="1100"/>
            </a:br>
            <a:r>
              <a:rPr lang="zh-TW" altLang="en-US" sz="1100"/>
              <a:t>回報異常訊息</a:t>
            </a:r>
          </a:p>
        </xdr:txBody>
      </xdr:sp>
      <xdr:cxnSp macro="">
        <xdr:nvCxnSpPr>
          <xdr:cNvPr id="226" name="直線單箭頭接點 225">
            <a:extLst>
              <a:ext uri="{FF2B5EF4-FFF2-40B4-BE49-F238E27FC236}">
                <a16:creationId xmlns:a16="http://schemas.microsoft.com/office/drawing/2014/main" id="{00000000-0008-0000-0500-0000E2000000}"/>
              </a:ext>
            </a:extLst>
          </xdr:cNvPr>
          <xdr:cNvCxnSpPr/>
        </xdr:nvCxnSpPr>
        <xdr:spPr>
          <a:xfrm>
            <a:off x="5734050" y="9029700"/>
            <a:ext cx="2001600" cy="0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7" name="直線單箭頭接點 226">
            <a:extLst>
              <a:ext uri="{FF2B5EF4-FFF2-40B4-BE49-F238E27FC236}">
                <a16:creationId xmlns:a16="http://schemas.microsoft.com/office/drawing/2014/main" id="{00000000-0008-0000-0500-0000E3000000}"/>
              </a:ext>
            </a:extLst>
          </xdr:cNvPr>
          <xdr:cNvCxnSpPr/>
        </xdr:nvCxnSpPr>
        <xdr:spPr>
          <a:xfrm rot="10800000" flipV="1">
            <a:off x="5734051" y="9115425"/>
            <a:ext cx="2000250" cy="2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95250</xdr:colOff>
      <xdr:row>163</xdr:row>
      <xdr:rowOff>19050</xdr:rowOff>
    </xdr:from>
    <xdr:to>
      <xdr:col>13</xdr:col>
      <xdr:colOff>554341</xdr:colOff>
      <xdr:row>165</xdr:row>
      <xdr:rowOff>48583</xdr:rowOff>
    </xdr:to>
    <xdr:grpSp>
      <xdr:nvGrpSpPr>
        <xdr:cNvPr id="228" name="群組 227">
          <a:extLst>
            <a:ext uri="{FF2B5EF4-FFF2-40B4-BE49-F238E27FC236}">
              <a16:creationId xmlns:a16="http://schemas.microsoft.com/office/drawing/2014/main" id="{00000000-0008-0000-0500-0000E4000000}"/>
            </a:ext>
          </a:extLst>
        </xdr:cNvPr>
        <xdr:cNvGrpSpPr/>
      </xdr:nvGrpSpPr>
      <xdr:grpSpPr>
        <a:xfrm>
          <a:off x="7387590" y="32752665"/>
          <a:ext cx="1897366" cy="435298"/>
          <a:chOff x="10323419" y="54983675"/>
          <a:chExt cx="1891651" cy="420058"/>
        </a:xfrm>
      </xdr:grpSpPr>
      <xdr:sp macro="" textlink="">
        <xdr:nvSpPr>
          <xdr:cNvPr id="229" name="矩形 228">
            <a:extLst>
              <a:ext uri="{FF2B5EF4-FFF2-40B4-BE49-F238E27FC236}">
                <a16:creationId xmlns:a16="http://schemas.microsoft.com/office/drawing/2014/main" id="{00000000-0008-0000-0500-0000E5000000}"/>
              </a:ext>
            </a:extLst>
          </xdr:cNvPr>
          <xdr:cNvSpPr/>
        </xdr:nvSpPr>
        <xdr:spPr>
          <a:xfrm>
            <a:off x="10323419" y="55090467"/>
            <a:ext cx="57150" cy="142876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zh-TW" altLang="en-US" sz="1100"/>
          </a:p>
        </xdr:txBody>
      </xdr:sp>
      <xdr:cxnSp macro="">
        <xdr:nvCxnSpPr>
          <xdr:cNvPr id="230" name="圖案 303">
            <a:extLst>
              <a:ext uri="{FF2B5EF4-FFF2-40B4-BE49-F238E27FC236}">
                <a16:creationId xmlns:a16="http://schemas.microsoft.com/office/drawing/2014/main" id="{00000000-0008-0000-0500-0000E6000000}"/>
              </a:ext>
            </a:extLst>
          </xdr:cNvPr>
          <xdr:cNvCxnSpPr/>
        </xdr:nvCxnSpPr>
        <xdr:spPr>
          <a:xfrm rot="5400000" flipH="1">
            <a:off x="10288176" y="55161905"/>
            <a:ext cx="142876" cy="1588"/>
          </a:xfrm>
          <a:prstGeom prst="curvedConnector5">
            <a:avLst>
              <a:gd name="adj1" fmla="val -159999"/>
              <a:gd name="adj2" fmla="val -14854161"/>
              <a:gd name="adj3" fmla="val 259999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1" name="文字方塊 230">
            <a:extLst>
              <a:ext uri="{FF2B5EF4-FFF2-40B4-BE49-F238E27FC236}">
                <a16:creationId xmlns:a16="http://schemas.microsoft.com/office/drawing/2014/main" id="{00000000-0008-0000-0500-0000E7000000}"/>
              </a:ext>
            </a:extLst>
          </xdr:cNvPr>
          <xdr:cNvSpPr txBox="1"/>
        </xdr:nvSpPr>
        <xdr:spPr>
          <a:xfrm>
            <a:off x="10581938" y="54983675"/>
            <a:ext cx="1633132" cy="4200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r>
              <a:rPr lang="zh-TW" altLang="en-US" sz="1100"/>
              <a:t>異常報警解除</a:t>
            </a:r>
            <a:endParaRPr lang="en-US" altLang="zh-TW" sz="1100"/>
          </a:p>
        </xdr:txBody>
      </xdr:sp>
    </xdr:grpSp>
    <xdr:clientData/>
  </xdr:twoCellAnchor>
  <xdr:twoCellAnchor>
    <xdr:from>
      <xdr:col>2</xdr:col>
      <xdr:colOff>430530</xdr:colOff>
      <xdr:row>18</xdr:row>
      <xdr:rowOff>0</xdr:rowOff>
    </xdr:from>
    <xdr:to>
      <xdr:col>11</xdr:col>
      <xdr:colOff>465734</xdr:colOff>
      <xdr:row>19</xdr:row>
      <xdr:rowOff>152400</xdr:rowOff>
    </xdr:to>
    <xdr:grpSp>
      <xdr:nvGrpSpPr>
        <xdr:cNvPr id="232" name="群組 231">
          <a:extLst>
            <a:ext uri="{FF2B5EF4-FFF2-40B4-BE49-F238E27FC236}">
              <a16:creationId xmlns:a16="http://schemas.microsoft.com/office/drawing/2014/main" id="{00000000-0008-0000-0500-0000E8000000}"/>
            </a:ext>
          </a:extLst>
        </xdr:cNvPr>
        <xdr:cNvGrpSpPr/>
      </xdr:nvGrpSpPr>
      <xdr:grpSpPr>
        <a:xfrm>
          <a:off x="2158365" y="3629025"/>
          <a:ext cx="5605424" cy="352425"/>
          <a:chOff x="2722245" y="403860"/>
          <a:chExt cx="5593080" cy="350520"/>
        </a:xfrm>
      </xdr:grpSpPr>
      <xdr:sp macro="" textlink="">
        <xdr:nvSpPr>
          <xdr:cNvPr id="233" name="矩形 232">
            <a:extLst>
              <a:ext uri="{FF2B5EF4-FFF2-40B4-BE49-F238E27FC236}">
                <a16:creationId xmlns:a16="http://schemas.microsoft.com/office/drawing/2014/main" id="{00000000-0008-0000-0500-0000E9000000}"/>
              </a:ext>
            </a:extLst>
          </xdr:cNvPr>
          <xdr:cNvSpPr/>
        </xdr:nvSpPr>
        <xdr:spPr>
          <a:xfrm>
            <a:off x="4278630" y="403860"/>
            <a:ext cx="98679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MCS</a:t>
            </a:r>
            <a:endParaRPr lang="zh-TW" altLang="en-US" sz="1100"/>
          </a:p>
        </xdr:txBody>
      </xdr:sp>
      <xdr:sp macro="" textlink="">
        <xdr:nvSpPr>
          <xdr:cNvPr id="234" name="矩形 233">
            <a:extLst>
              <a:ext uri="{FF2B5EF4-FFF2-40B4-BE49-F238E27FC236}">
                <a16:creationId xmlns:a16="http://schemas.microsoft.com/office/drawing/2014/main" id="{00000000-0008-0000-0500-0000EA000000}"/>
              </a:ext>
            </a:extLst>
          </xdr:cNvPr>
          <xdr:cNvSpPr/>
        </xdr:nvSpPr>
        <xdr:spPr>
          <a:xfrm>
            <a:off x="7355205" y="403860"/>
            <a:ext cx="96012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Lifter</a:t>
            </a:r>
          </a:p>
        </xdr:txBody>
      </xdr:sp>
      <xdr:sp macro="" textlink="">
        <xdr:nvSpPr>
          <xdr:cNvPr id="235" name="矩形 234">
            <a:extLst>
              <a:ext uri="{FF2B5EF4-FFF2-40B4-BE49-F238E27FC236}">
                <a16:creationId xmlns:a16="http://schemas.microsoft.com/office/drawing/2014/main" id="{00000000-0008-0000-0500-0000EB000000}"/>
              </a:ext>
            </a:extLst>
          </xdr:cNvPr>
          <xdr:cNvSpPr/>
        </xdr:nvSpPr>
        <xdr:spPr>
          <a:xfrm>
            <a:off x="2722245" y="403860"/>
            <a:ext cx="891540" cy="340995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DCS</a:t>
            </a:r>
            <a:endParaRPr lang="zh-TW" altLang="en-US" sz="1100"/>
          </a:p>
        </xdr:txBody>
      </xdr:sp>
    </xdr:grpSp>
    <xdr:clientData/>
  </xdr:twoCellAnchor>
  <xdr:twoCellAnchor>
    <xdr:from>
      <xdr:col>3</xdr:col>
      <xdr:colOff>255269</xdr:colOff>
      <xdr:row>19</xdr:row>
      <xdr:rowOff>140970</xdr:rowOff>
    </xdr:from>
    <xdr:to>
      <xdr:col>10</xdr:col>
      <xdr:colOff>616166</xdr:colOff>
      <xdr:row>33</xdr:row>
      <xdr:rowOff>60960</xdr:rowOff>
    </xdr:to>
    <xdr:grpSp>
      <xdr:nvGrpSpPr>
        <xdr:cNvPr id="236" name="群組 235">
          <a:extLst>
            <a:ext uri="{FF2B5EF4-FFF2-40B4-BE49-F238E27FC236}">
              <a16:creationId xmlns:a16="http://schemas.microsoft.com/office/drawing/2014/main" id="{00000000-0008-0000-0500-0000EC000000}"/>
            </a:ext>
          </a:extLst>
        </xdr:cNvPr>
        <xdr:cNvGrpSpPr/>
      </xdr:nvGrpSpPr>
      <xdr:grpSpPr>
        <a:xfrm>
          <a:off x="2594609" y="3968115"/>
          <a:ext cx="4700487" cy="2727960"/>
          <a:chOff x="3168014" y="744855"/>
          <a:chExt cx="4678680" cy="4573905"/>
        </a:xfrm>
      </xdr:grpSpPr>
      <xdr:cxnSp macro="">
        <xdr:nvCxnSpPr>
          <xdr:cNvPr id="237" name="直線接點 236">
            <a:extLst>
              <a:ext uri="{FF2B5EF4-FFF2-40B4-BE49-F238E27FC236}">
                <a16:creationId xmlns:a16="http://schemas.microsoft.com/office/drawing/2014/main" id="{00000000-0008-0000-0500-0000ED000000}"/>
              </a:ext>
            </a:extLst>
          </xdr:cNvPr>
          <xdr:cNvCxnSpPr>
            <a:stCxn id="233" idx="2"/>
          </xdr:cNvCxnSpPr>
        </xdr:nvCxnSpPr>
        <xdr:spPr>
          <a:xfrm flipH="1">
            <a:off x="4761707" y="756194"/>
            <a:ext cx="10318" cy="4562566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8" name="直線接點 237">
            <a:extLst>
              <a:ext uri="{FF2B5EF4-FFF2-40B4-BE49-F238E27FC236}">
                <a16:creationId xmlns:a16="http://schemas.microsoft.com/office/drawing/2014/main" id="{00000000-0008-0000-0500-0000EE000000}"/>
              </a:ext>
            </a:extLst>
          </xdr:cNvPr>
          <xdr:cNvCxnSpPr>
            <a:stCxn id="234" idx="2"/>
          </xdr:cNvCxnSpPr>
        </xdr:nvCxnSpPr>
        <xdr:spPr>
          <a:xfrm rot="5400000">
            <a:off x="5570682" y="3041065"/>
            <a:ext cx="4552024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9" name="直線接點 238">
            <a:extLst>
              <a:ext uri="{FF2B5EF4-FFF2-40B4-BE49-F238E27FC236}">
                <a16:creationId xmlns:a16="http://schemas.microsoft.com/office/drawing/2014/main" id="{00000000-0008-0000-0500-0000EF000000}"/>
              </a:ext>
            </a:extLst>
          </xdr:cNvPr>
          <xdr:cNvCxnSpPr>
            <a:stCxn id="235" idx="2"/>
          </xdr:cNvCxnSpPr>
        </xdr:nvCxnSpPr>
        <xdr:spPr>
          <a:xfrm rot="5400000">
            <a:off x="892002" y="3020867"/>
            <a:ext cx="4552024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617219</xdr:colOff>
      <xdr:row>26</xdr:row>
      <xdr:rowOff>139062</xdr:rowOff>
    </xdr:from>
    <xdr:to>
      <xdr:col>10</xdr:col>
      <xdr:colOff>577215</xdr:colOff>
      <xdr:row>29</xdr:row>
      <xdr:rowOff>76198</xdr:rowOff>
    </xdr:to>
    <xdr:grpSp>
      <xdr:nvGrpSpPr>
        <xdr:cNvPr id="240" name="群組 239">
          <a:extLst>
            <a:ext uri="{FF2B5EF4-FFF2-40B4-BE49-F238E27FC236}">
              <a16:creationId xmlns:a16="http://schemas.microsoft.com/office/drawing/2014/main" id="{00000000-0008-0000-0500-0000F0000000}"/>
            </a:ext>
          </a:extLst>
        </xdr:cNvPr>
        <xdr:cNvGrpSpPr/>
      </xdr:nvGrpSpPr>
      <xdr:grpSpPr>
        <a:xfrm>
          <a:off x="4200524" y="5364477"/>
          <a:ext cx="3055621" cy="541021"/>
          <a:chOff x="1743074" y="904875"/>
          <a:chExt cx="2001600" cy="304794"/>
        </a:xfrm>
      </xdr:grpSpPr>
      <xdr:sp macro="" textlink="">
        <xdr:nvSpPr>
          <xdr:cNvPr id="241" name="文字方塊 240">
            <a:extLst>
              <a:ext uri="{FF2B5EF4-FFF2-40B4-BE49-F238E27FC236}">
                <a16:creationId xmlns:a16="http://schemas.microsoft.com/office/drawing/2014/main" id="{00000000-0008-0000-0500-0000F1000000}"/>
              </a:ext>
            </a:extLst>
          </xdr:cNvPr>
          <xdr:cNvSpPr txBox="1"/>
        </xdr:nvSpPr>
        <xdr:spPr>
          <a:xfrm>
            <a:off x="1775659" y="943614"/>
            <a:ext cx="1930210" cy="2660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algn="r"/>
            <a:r>
              <a:rPr lang="en-US" altLang="zh-TW" sz="1100"/>
              <a:t>lifterOperationModeReport</a:t>
            </a:r>
          </a:p>
          <a:p>
            <a:pPr algn="r"/>
            <a:r>
              <a:rPr lang="zh-TW" altLang="en-US" sz="1100"/>
              <a:t>電梯完成運行模式切換</a:t>
            </a:r>
          </a:p>
        </xdr:txBody>
      </xdr:sp>
      <xdr:cxnSp macro="">
        <xdr:nvCxnSpPr>
          <xdr:cNvPr id="242" name="直線單箭頭接點 241">
            <a:extLst>
              <a:ext uri="{FF2B5EF4-FFF2-40B4-BE49-F238E27FC236}">
                <a16:creationId xmlns:a16="http://schemas.microsoft.com/office/drawing/2014/main" id="{00000000-0008-0000-0500-0000F2000000}"/>
              </a:ext>
            </a:extLst>
          </xdr:cNvPr>
          <xdr:cNvCxnSpPr/>
        </xdr:nvCxnSpPr>
        <xdr:spPr>
          <a:xfrm>
            <a:off x="1743074" y="904875"/>
            <a:ext cx="2001600" cy="0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3" name="直線單箭頭接點 242">
            <a:extLst>
              <a:ext uri="{FF2B5EF4-FFF2-40B4-BE49-F238E27FC236}">
                <a16:creationId xmlns:a16="http://schemas.microsoft.com/office/drawing/2014/main" id="{00000000-0008-0000-0500-0000F3000000}"/>
              </a:ext>
            </a:extLst>
          </xdr:cNvPr>
          <xdr:cNvCxnSpPr/>
        </xdr:nvCxnSpPr>
        <xdr:spPr>
          <a:xfrm rot="10800000" flipV="1">
            <a:off x="1743075" y="953139"/>
            <a:ext cx="2000250" cy="2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36307</xdr:colOff>
      <xdr:row>30</xdr:row>
      <xdr:rowOff>3361</xdr:rowOff>
    </xdr:from>
    <xdr:to>
      <xdr:col>11</xdr:col>
      <xdr:colOff>7620</xdr:colOff>
      <xdr:row>32</xdr:row>
      <xdr:rowOff>99060</xdr:rowOff>
    </xdr:to>
    <xdr:grpSp>
      <xdr:nvGrpSpPr>
        <xdr:cNvPr id="244" name="群組 243">
          <a:extLst>
            <a:ext uri="{FF2B5EF4-FFF2-40B4-BE49-F238E27FC236}">
              <a16:creationId xmlns:a16="http://schemas.microsoft.com/office/drawing/2014/main" id="{00000000-0008-0000-0500-0000F4000000}"/>
            </a:ext>
          </a:extLst>
        </xdr:cNvPr>
        <xdr:cNvGrpSpPr/>
      </xdr:nvGrpSpPr>
      <xdr:grpSpPr>
        <a:xfrm>
          <a:off x="4236832" y="6032686"/>
          <a:ext cx="3068843" cy="501464"/>
          <a:chOff x="5238750" y="2085975"/>
          <a:chExt cx="3430351" cy="498455"/>
        </a:xfrm>
      </xdr:grpSpPr>
      <xdr:sp macro="" textlink="">
        <xdr:nvSpPr>
          <xdr:cNvPr id="245" name="文字方塊 244">
            <a:extLst>
              <a:ext uri="{FF2B5EF4-FFF2-40B4-BE49-F238E27FC236}">
                <a16:creationId xmlns:a16="http://schemas.microsoft.com/office/drawing/2014/main" id="{00000000-0008-0000-0500-0000F5000000}"/>
              </a:ext>
            </a:extLst>
          </xdr:cNvPr>
          <xdr:cNvSpPr txBox="1"/>
        </xdr:nvSpPr>
        <xdr:spPr>
          <a:xfrm>
            <a:off x="5353051" y="2162176"/>
            <a:ext cx="3267075" cy="42225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r>
              <a:rPr lang="en-US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QueryLifterInfo</a:t>
            </a:r>
            <a:r>
              <a:rPr lang="en-US" altLang="zh-TW" sz="1100">
                <a:solidFill>
                  <a:sysClr val="windowText" lastClr="000000"/>
                </a:solidFill>
              </a:rPr>
              <a:t>()</a:t>
            </a:r>
          </a:p>
          <a:p>
            <a:r>
              <a:rPr lang="zh-TW" altLang="en-US" sz="1100">
                <a:solidFill>
                  <a:sysClr val="windowText" lastClr="000000"/>
                </a:solidFill>
              </a:rPr>
              <a:t>更新</a:t>
            </a:r>
            <a:r>
              <a:rPr lang="en-US" altLang="zh-TW" sz="1100">
                <a:solidFill>
                  <a:sysClr val="windowText" lastClr="000000"/>
                </a:solidFill>
              </a:rPr>
              <a:t>Lifter</a:t>
            </a:r>
            <a:r>
              <a:rPr lang="zh-TW" altLang="en-US" sz="1100">
                <a:solidFill>
                  <a:sysClr val="windowText" lastClr="000000"/>
                </a:solidFill>
              </a:rPr>
              <a:t>資訊</a:t>
            </a:r>
            <a:endParaRPr lang="en-US" altLang="zh-TW" sz="1100">
              <a:solidFill>
                <a:sysClr val="windowText" lastClr="000000"/>
              </a:solidFill>
            </a:endParaRPr>
          </a:p>
          <a:p>
            <a:endParaRPr lang="zh-TW" altLang="en-US" sz="1100">
              <a:solidFill>
                <a:schemeClr val="accent6">
                  <a:lumMod val="75000"/>
                </a:schemeClr>
              </a:solidFill>
            </a:endParaRPr>
          </a:p>
        </xdr:txBody>
      </xdr:sp>
      <xdr:cxnSp macro="">
        <xdr:nvCxnSpPr>
          <xdr:cNvPr id="246" name="直線單箭頭接點 245">
            <a:extLst>
              <a:ext uri="{FF2B5EF4-FFF2-40B4-BE49-F238E27FC236}">
                <a16:creationId xmlns:a16="http://schemas.microsoft.com/office/drawing/2014/main" id="{00000000-0008-0000-0500-0000F6000000}"/>
              </a:ext>
            </a:extLst>
          </xdr:cNvPr>
          <xdr:cNvCxnSpPr/>
        </xdr:nvCxnSpPr>
        <xdr:spPr>
          <a:xfrm>
            <a:off x="5238750" y="2085975"/>
            <a:ext cx="3430350" cy="0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7" name="直線單箭頭接點 246">
            <a:extLst>
              <a:ext uri="{FF2B5EF4-FFF2-40B4-BE49-F238E27FC236}">
                <a16:creationId xmlns:a16="http://schemas.microsoft.com/office/drawing/2014/main" id="{00000000-0008-0000-0500-0000F7000000}"/>
              </a:ext>
            </a:extLst>
          </xdr:cNvPr>
          <xdr:cNvCxnSpPr/>
        </xdr:nvCxnSpPr>
        <xdr:spPr>
          <a:xfrm rot="10800000" flipV="1">
            <a:off x="5238751" y="2171700"/>
            <a:ext cx="3430350" cy="2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22860</xdr:colOff>
      <xdr:row>21</xdr:row>
      <xdr:rowOff>131787</xdr:rowOff>
    </xdr:from>
    <xdr:to>
      <xdr:col>10</xdr:col>
      <xdr:colOff>613263</xdr:colOff>
      <xdr:row>24</xdr:row>
      <xdr:rowOff>83823</xdr:rowOff>
    </xdr:to>
    <xdr:grpSp>
      <xdr:nvGrpSpPr>
        <xdr:cNvPr id="248" name="群組 247">
          <a:extLst>
            <a:ext uri="{FF2B5EF4-FFF2-40B4-BE49-F238E27FC236}">
              <a16:creationId xmlns:a16="http://schemas.microsoft.com/office/drawing/2014/main" id="{00000000-0008-0000-0500-0000F8000000}"/>
            </a:ext>
          </a:extLst>
        </xdr:cNvPr>
        <xdr:cNvGrpSpPr/>
      </xdr:nvGrpSpPr>
      <xdr:grpSpPr>
        <a:xfrm>
          <a:off x="4219575" y="4364697"/>
          <a:ext cx="3070713" cy="550206"/>
          <a:chOff x="1743075" y="948769"/>
          <a:chExt cx="2010265" cy="313338"/>
        </a:xfrm>
      </xdr:grpSpPr>
      <xdr:sp macro="" textlink="">
        <xdr:nvSpPr>
          <xdr:cNvPr id="249" name="文字方塊 248">
            <a:extLst>
              <a:ext uri="{FF2B5EF4-FFF2-40B4-BE49-F238E27FC236}">
                <a16:creationId xmlns:a16="http://schemas.microsoft.com/office/drawing/2014/main" id="{00000000-0008-0000-0500-0000F9000000}"/>
              </a:ext>
            </a:extLst>
          </xdr:cNvPr>
          <xdr:cNvSpPr txBox="1"/>
        </xdr:nvSpPr>
        <xdr:spPr>
          <a:xfrm>
            <a:off x="1743075" y="1004792"/>
            <a:ext cx="1895945" cy="2573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algn="l"/>
            <a:r>
              <a:rPr lang="en-US" altLang="zh-TW" sz="1100"/>
              <a:t>LifterOperationChangeRequest()</a:t>
            </a:r>
          </a:p>
          <a:p>
            <a:pPr algn="l"/>
            <a:r>
              <a:rPr lang="en-US" altLang="zh-TW" sz="1100"/>
              <a:t>MCS</a:t>
            </a:r>
            <a:r>
              <a:rPr lang="en-US" altLang="zh-TW" sz="1100" baseline="0"/>
              <a:t> </a:t>
            </a:r>
            <a:r>
              <a:rPr lang="zh-TW" altLang="en-US" sz="1100" baseline="0"/>
              <a:t>要求切換運行模式</a:t>
            </a:r>
            <a:br>
              <a:rPr lang="en-US" altLang="zh-TW" sz="1100"/>
            </a:br>
            <a:r>
              <a:rPr lang="en-US" altLang="zh-TW" sz="1100"/>
              <a:t>Mode=Auto</a:t>
            </a:r>
            <a:r>
              <a:rPr lang="zh-TW" altLang="en-US" sz="1100"/>
              <a:t> </a:t>
            </a:r>
            <a:r>
              <a:rPr lang="en-US" altLang="zh-TW" sz="1100"/>
              <a:t>(</a:t>
            </a:r>
            <a:r>
              <a:rPr lang="zh-TW" altLang="en-US" sz="1100"/>
              <a:t>自動</a:t>
            </a:r>
            <a:r>
              <a:rPr lang="en-US" altLang="zh-TW" sz="1100"/>
              <a:t>)/Manual</a:t>
            </a:r>
            <a:r>
              <a:rPr lang="en-US" altLang="zh-TW" sz="1100" baseline="0"/>
              <a:t> (</a:t>
            </a:r>
            <a:r>
              <a:rPr lang="zh-TW" altLang="en-US" sz="1100" baseline="0"/>
              <a:t>人工</a:t>
            </a:r>
            <a:r>
              <a:rPr lang="en-US" altLang="zh-TW" sz="1100" baseline="0"/>
              <a:t>)</a:t>
            </a:r>
            <a:endParaRPr lang="zh-TW" altLang="en-US" sz="1100"/>
          </a:p>
        </xdr:txBody>
      </xdr:sp>
      <xdr:cxnSp macro="">
        <xdr:nvCxnSpPr>
          <xdr:cNvPr id="250" name="直線單箭頭接點 249">
            <a:extLst>
              <a:ext uri="{FF2B5EF4-FFF2-40B4-BE49-F238E27FC236}">
                <a16:creationId xmlns:a16="http://schemas.microsoft.com/office/drawing/2014/main" id="{00000000-0008-0000-0500-0000FA000000}"/>
              </a:ext>
            </a:extLst>
          </xdr:cNvPr>
          <xdr:cNvCxnSpPr/>
        </xdr:nvCxnSpPr>
        <xdr:spPr>
          <a:xfrm>
            <a:off x="1748081" y="1005378"/>
            <a:ext cx="2001600" cy="0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1" name="直線單箭頭接點 250">
            <a:extLst>
              <a:ext uri="{FF2B5EF4-FFF2-40B4-BE49-F238E27FC236}">
                <a16:creationId xmlns:a16="http://schemas.microsoft.com/office/drawing/2014/main" id="{00000000-0008-0000-0500-0000FB000000}"/>
              </a:ext>
            </a:extLst>
          </xdr:cNvPr>
          <xdr:cNvCxnSpPr/>
        </xdr:nvCxnSpPr>
        <xdr:spPr>
          <a:xfrm rot="10800000" flipV="1">
            <a:off x="1753090" y="948769"/>
            <a:ext cx="2000250" cy="2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228601</xdr:colOff>
      <xdr:row>196</xdr:row>
      <xdr:rowOff>129540</xdr:rowOff>
    </xdr:from>
    <xdr:to>
      <xdr:col>11</xdr:col>
      <xdr:colOff>137161</xdr:colOff>
      <xdr:row>199</xdr:row>
      <xdr:rowOff>18118</xdr:rowOff>
    </xdr:to>
    <xdr:grpSp>
      <xdr:nvGrpSpPr>
        <xdr:cNvPr id="252" name="群組 251">
          <a:extLst>
            <a:ext uri="{FF2B5EF4-FFF2-40B4-BE49-F238E27FC236}">
              <a16:creationId xmlns:a16="http://schemas.microsoft.com/office/drawing/2014/main" id="{00000000-0008-0000-0500-0000FC000000}"/>
            </a:ext>
          </a:extLst>
        </xdr:cNvPr>
        <xdr:cNvGrpSpPr/>
      </xdr:nvGrpSpPr>
      <xdr:grpSpPr>
        <a:xfrm>
          <a:off x="4429126" y="39490650"/>
          <a:ext cx="3000375" cy="488653"/>
          <a:chOff x="4204138" y="13126370"/>
          <a:chExt cx="3071155" cy="482938"/>
        </a:xfrm>
      </xdr:grpSpPr>
      <xdr:sp macro="" textlink="">
        <xdr:nvSpPr>
          <xdr:cNvPr id="253" name="文字方塊 252">
            <a:extLst>
              <a:ext uri="{FF2B5EF4-FFF2-40B4-BE49-F238E27FC236}">
                <a16:creationId xmlns:a16="http://schemas.microsoft.com/office/drawing/2014/main" id="{00000000-0008-0000-0500-0000FD000000}"/>
              </a:ext>
            </a:extLst>
          </xdr:cNvPr>
          <xdr:cNvSpPr txBox="1"/>
        </xdr:nvSpPr>
        <xdr:spPr>
          <a:xfrm>
            <a:off x="4261354" y="13204081"/>
            <a:ext cx="2985265" cy="40522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TW" sz="1100">
                <a:solidFill>
                  <a:srgbClr val="FF0000"/>
                </a:solidFill>
              </a:rPr>
              <a:t>LifterDoorOpenCompleted()</a:t>
            </a:r>
          </a:p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zh-TW" altLang="en-US" sz="1100">
                <a:solidFill>
                  <a:srgbClr val="FF0000"/>
                </a:solidFill>
              </a:rPr>
              <a:t>電梯開門完成</a:t>
            </a:r>
          </a:p>
        </xdr:txBody>
      </xdr:sp>
      <xdr:cxnSp macro="">
        <xdr:nvCxnSpPr>
          <xdr:cNvPr id="254" name="直線單箭頭接點 253">
            <a:extLst>
              <a:ext uri="{FF2B5EF4-FFF2-40B4-BE49-F238E27FC236}">
                <a16:creationId xmlns:a16="http://schemas.microsoft.com/office/drawing/2014/main" id="{00000000-0008-0000-0500-0000FE000000}"/>
              </a:ext>
            </a:extLst>
          </xdr:cNvPr>
          <xdr:cNvCxnSpPr/>
        </xdr:nvCxnSpPr>
        <xdr:spPr>
          <a:xfrm rot="10800000" flipV="1">
            <a:off x="4236983" y="13232262"/>
            <a:ext cx="3038310" cy="4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5" name="直線單箭頭接點 254">
            <a:extLst>
              <a:ext uri="{FF2B5EF4-FFF2-40B4-BE49-F238E27FC236}">
                <a16:creationId xmlns:a16="http://schemas.microsoft.com/office/drawing/2014/main" id="{00000000-0008-0000-0500-0000FF000000}"/>
              </a:ext>
            </a:extLst>
          </xdr:cNvPr>
          <xdr:cNvCxnSpPr/>
        </xdr:nvCxnSpPr>
        <xdr:spPr>
          <a:xfrm>
            <a:off x="4204138" y="13126370"/>
            <a:ext cx="3040361" cy="0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198120</xdr:colOff>
      <xdr:row>221</xdr:row>
      <xdr:rowOff>144780</xdr:rowOff>
    </xdr:from>
    <xdr:to>
      <xdr:col>11</xdr:col>
      <xdr:colOff>106680</xdr:colOff>
      <xdr:row>224</xdr:row>
      <xdr:rowOff>33358</xdr:rowOff>
    </xdr:to>
    <xdr:grpSp>
      <xdr:nvGrpSpPr>
        <xdr:cNvPr id="256" name="群組 255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GrpSpPr/>
      </xdr:nvGrpSpPr>
      <xdr:grpSpPr>
        <a:xfrm>
          <a:off x="4400550" y="44510325"/>
          <a:ext cx="3000375" cy="488653"/>
          <a:chOff x="4204138" y="13126370"/>
          <a:chExt cx="3071155" cy="482938"/>
        </a:xfrm>
      </xdr:grpSpPr>
      <xdr:sp macro="" textlink="">
        <xdr:nvSpPr>
          <xdr:cNvPr id="257" name="文字方塊 256">
            <a:extLst>
              <a:ext uri="{FF2B5EF4-FFF2-40B4-BE49-F238E27FC236}">
                <a16:creationId xmlns:a16="http://schemas.microsoft.com/office/drawing/2014/main" id="{00000000-0008-0000-0500-000001010000}"/>
              </a:ext>
            </a:extLst>
          </xdr:cNvPr>
          <xdr:cNvSpPr txBox="1"/>
        </xdr:nvSpPr>
        <xdr:spPr>
          <a:xfrm>
            <a:off x="4261354" y="13204081"/>
            <a:ext cx="2985265" cy="40522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TW" sz="1100">
                <a:solidFill>
                  <a:srgbClr val="FF0000"/>
                </a:solidFill>
              </a:rPr>
              <a:t>LifterDoorOpenCompleted()</a:t>
            </a:r>
          </a:p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zh-TW" altLang="en-US" sz="1100">
                <a:solidFill>
                  <a:srgbClr val="FF0000"/>
                </a:solidFill>
              </a:rPr>
              <a:t>電梯開門完成</a:t>
            </a:r>
          </a:p>
        </xdr:txBody>
      </xdr:sp>
      <xdr:cxnSp macro="">
        <xdr:nvCxnSpPr>
          <xdr:cNvPr id="258" name="直線單箭頭接點 257">
            <a:extLst>
              <a:ext uri="{FF2B5EF4-FFF2-40B4-BE49-F238E27FC236}">
                <a16:creationId xmlns:a16="http://schemas.microsoft.com/office/drawing/2014/main" id="{00000000-0008-0000-0500-000002010000}"/>
              </a:ext>
            </a:extLst>
          </xdr:cNvPr>
          <xdr:cNvCxnSpPr/>
        </xdr:nvCxnSpPr>
        <xdr:spPr>
          <a:xfrm rot="10800000" flipV="1">
            <a:off x="4236983" y="13232262"/>
            <a:ext cx="3038310" cy="4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9" name="直線單箭頭接點 258">
            <a:extLst>
              <a:ext uri="{FF2B5EF4-FFF2-40B4-BE49-F238E27FC236}">
                <a16:creationId xmlns:a16="http://schemas.microsoft.com/office/drawing/2014/main" id="{00000000-0008-0000-0500-000003010000}"/>
              </a:ext>
            </a:extLst>
          </xdr:cNvPr>
          <xdr:cNvCxnSpPr/>
        </xdr:nvCxnSpPr>
        <xdr:spPr>
          <a:xfrm>
            <a:off x="4204138" y="13126370"/>
            <a:ext cx="3040361" cy="0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320040</xdr:colOff>
      <xdr:row>44</xdr:row>
      <xdr:rowOff>15240</xdr:rowOff>
    </xdr:from>
    <xdr:to>
      <xdr:col>6</xdr:col>
      <xdr:colOff>152401</xdr:colOff>
      <xdr:row>49</xdr:row>
      <xdr:rowOff>175260</xdr:rowOff>
    </xdr:to>
    <xdr:sp macro="" textlink="">
      <xdr:nvSpPr>
        <xdr:cNvPr id="260" name="文字方塊 259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 txBox="1"/>
      </xdr:nvSpPr>
      <xdr:spPr>
        <a:xfrm>
          <a:off x="2659380" y="8770620"/>
          <a:ext cx="1684021" cy="1150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altLang="zh-TW" sz="1100" b="0" baseline="0">
              <a:solidFill>
                <a:srgbClr val="FF0000"/>
              </a:solidFill>
            </a:rPr>
            <a:t>EQ Status Check before Command Download.</a:t>
          </a:r>
        </a:p>
        <a:p>
          <a:r>
            <a:rPr lang="en-US" altLang="zh-TW" sz="1100" b="0" baseline="0">
              <a:solidFill>
                <a:srgbClr val="FF0000"/>
              </a:solidFill>
            </a:rPr>
            <a:t>1.Lifter Online </a:t>
          </a:r>
        </a:p>
        <a:p>
          <a:r>
            <a:rPr lang="en-US" altLang="zh-TW" sz="1100" b="0" baseline="0">
              <a:solidFill>
                <a:srgbClr val="FF0000"/>
              </a:solidFill>
            </a:rPr>
            <a:t>2.EQ Ready + IDLE</a:t>
          </a:r>
        </a:p>
        <a:p>
          <a:r>
            <a:rPr lang="en-US" altLang="zh-TW" sz="1100" b="0" baseline="0">
              <a:solidFill>
                <a:srgbClr val="FF0000"/>
              </a:solidFill>
            </a:rPr>
            <a:t>3.Run Mode= AGV</a:t>
          </a:r>
        </a:p>
        <a:p>
          <a:r>
            <a:rPr lang="en-US" altLang="zh-TW" sz="1100" b="0" baseline="0">
              <a:solidFill>
                <a:srgbClr val="FF0000"/>
              </a:solidFill>
            </a:rPr>
            <a:t>...............................</a:t>
          </a:r>
          <a:endParaRPr lang="zh-TW" altLang="en-US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350520</xdr:colOff>
      <xdr:row>105</xdr:row>
      <xdr:rowOff>91440</xdr:rowOff>
    </xdr:from>
    <xdr:to>
      <xdr:col>6</xdr:col>
      <xdr:colOff>182881</xdr:colOff>
      <xdr:row>111</xdr:row>
      <xdr:rowOff>45720</xdr:rowOff>
    </xdr:to>
    <xdr:sp macro="" textlink="">
      <xdr:nvSpPr>
        <xdr:cNvPr id="261" name="文字方塊 260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SpPr txBox="1"/>
      </xdr:nvSpPr>
      <xdr:spPr>
        <a:xfrm>
          <a:off x="2689860" y="20947380"/>
          <a:ext cx="1684021" cy="1150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altLang="zh-TW" sz="1100" b="0" baseline="0">
              <a:solidFill>
                <a:srgbClr val="FF0000"/>
              </a:solidFill>
            </a:rPr>
            <a:t>EQ Status Check before Command Download.</a:t>
          </a:r>
        </a:p>
        <a:p>
          <a:r>
            <a:rPr lang="en-US" altLang="zh-TW" sz="1100" b="0" baseline="0">
              <a:solidFill>
                <a:srgbClr val="FF0000"/>
              </a:solidFill>
            </a:rPr>
            <a:t>1.Lifter Online </a:t>
          </a:r>
        </a:p>
        <a:p>
          <a:r>
            <a:rPr lang="en-US" altLang="zh-TW" sz="1100" b="0" baseline="0">
              <a:solidFill>
                <a:srgbClr val="FF0000"/>
              </a:solidFill>
            </a:rPr>
            <a:t>2.EQ Ready + IDLE</a:t>
          </a:r>
        </a:p>
        <a:p>
          <a:r>
            <a:rPr lang="en-US" altLang="zh-TW" sz="1100" b="0" baseline="0">
              <a:solidFill>
                <a:srgbClr val="FF0000"/>
              </a:solidFill>
            </a:rPr>
            <a:t>3.Run Mode= AGV</a:t>
          </a:r>
        </a:p>
        <a:p>
          <a:r>
            <a:rPr lang="en-US" altLang="zh-TW" sz="1100" b="0" baseline="0">
              <a:solidFill>
                <a:srgbClr val="FF0000"/>
              </a:solidFill>
            </a:rPr>
            <a:t>...............................</a:t>
          </a:r>
          <a:endParaRPr lang="zh-TW" altLang="en-US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7620</xdr:colOff>
      <xdr:row>130</xdr:row>
      <xdr:rowOff>198120</xdr:rowOff>
    </xdr:from>
    <xdr:to>
      <xdr:col>10</xdr:col>
      <xdr:colOff>609895</xdr:colOff>
      <xdr:row>133</xdr:row>
      <xdr:rowOff>68580</xdr:rowOff>
    </xdr:to>
    <xdr:grpSp>
      <xdr:nvGrpSpPr>
        <xdr:cNvPr id="262" name="群組 261">
          <a:extLst>
            <a:ext uri="{FF2B5EF4-FFF2-40B4-BE49-F238E27FC236}">
              <a16:creationId xmlns:a16="http://schemas.microsoft.com/office/drawing/2014/main" id="{00000000-0008-0000-0500-000006010000}"/>
            </a:ext>
          </a:extLst>
        </xdr:cNvPr>
        <xdr:cNvGrpSpPr/>
      </xdr:nvGrpSpPr>
      <xdr:grpSpPr>
        <a:xfrm>
          <a:off x="4210050" y="26298525"/>
          <a:ext cx="3076870" cy="495300"/>
          <a:chOff x="4204138" y="13126370"/>
          <a:chExt cx="3071155" cy="482938"/>
        </a:xfrm>
      </xdr:grpSpPr>
      <xdr:sp macro="" textlink="">
        <xdr:nvSpPr>
          <xdr:cNvPr id="263" name="文字方塊 262">
            <a:extLst>
              <a:ext uri="{FF2B5EF4-FFF2-40B4-BE49-F238E27FC236}">
                <a16:creationId xmlns:a16="http://schemas.microsoft.com/office/drawing/2014/main" id="{00000000-0008-0000-0500-000007010000}"/>
              </a:ext>
            </a:extLst>
          </xdr:cNvPr>
          <xdr:cNvSpPr txBox="1"/>
        </xdr:nvSpPr>
        <xdr:spPr>
          <a:xfrm>
            <a:off x="4261354" y="13204081"/>
            <a:ext cx="2985265" cy="40522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TW" sz="1100">
                <a:solidFill>
                  <a:srgbClr val="FF0000"/>
                </a:solidFill>
              </a:rPr>
              <a:t>LifterDoorOpenCompleted()</a:t>
            </a:r>
          </a:p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zh-TW" altLang="en-US" sz="1100">
                <a:solidFill>
                  <a:srgbClr val="FF0000"/>
                </a:solidFill>
              </a:rPr>
              <a:t>電梯開門完成</a:t>
            </a:r>
          </a:p>
        </xdr:txBody>
      </xdr:sp>
      <xdr:cxnSp macro="">
        <xdr:nvCxnSpPr>
          <xdr:cNvPr id="264" name="直線單箭頭接點 263">
            <a:extLst>
              <a:ext uri="{FF2B5EF4-FFF2-40B4-BE49-F238E27FC236}">
                <a16:creationId xmlns:a16="http://schemas.microsoft.com/office/drawing/2014/main" id="{00000000-0008-0000-0500-000008010000}"/>
              </a:ext>
            </a:extLst>
          </xdr:cNvPr>
          <xdr:cNvCxnSpPr/>
        </xdr:nvCxnSpPr>
        <xdr:spPr>
          <a:xfrm rot="10800000" flipV="1">
            <a:off x="4236983" y="13232262"/>
            <a:ext cx="3038310" cy="4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5" name="直線單箭頭接點 264">
            <a:extLst>
              <a:ext uri="{FF2B5EF4-FFF2-40B4-BE49-F238E27FC236}">
                <a16:creationId xmlns:a16="http://schemas.microsoft.com/office/drawing/2014/main" id="{00000000-0008-0000-0500-000009010000}"/>
              </a:ext>
            </a:extLst>
          </xdr:cNvPr>
          <xdr:cNvCxnSpPr/>
        </xdr:nvCxnSpPr>
        <xdr:spPr>
          <a:xfrm>
            <a:off x="4204138" y="13126370"/>
            <a:ext cx="3040361" cy="0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114300</xdr:colOff>
      <xdr:row>26</xdr:row>
      <xdr:rowOff>76200</xdr:rowOff>
    </xdr:from>
    <xdr:to>
      <xdr:col>14</xdr:col>
      <xdr:colOff>419100</xdr:colOff>
      <xdr:row>29</xdr:row>
      <xdr:rowOff>30480</xdr:rowOff>
    </xdr:to>
    <xdr:sp macro="" textlink="">
      <xdr:nvSpPr>
        <xdr:cNvPr id="266" name="文字方塊 265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 txBox="1"/>
      </xdr:nvSpPr>
      <xdr:spPr>
        <a:xfrm>
          <a:off x="7391400" y="5250180"/>
          <a:ext cx="2354580" cy="548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altLang="zh-TW" sz="1100" b="0" baseline="0">
              <a:solidFill>
                <a:srgbClr val="FF0000"/>
              </a:solidFill>
            </a:rPr>
            <a:t>Prompt message : </a:t>
          </a:r>
          <a:r>
            <a:rPr lang="zh-TW" altLang="en-US" sz="1100" b="0" baseline="0">
              <a:solidFill>
                <a:srgbClr val="FF0000"/>
              </a:solidFill>
            </a:rPr>
            <a:t>電梯管制中。</a:t>
          </a:r>
          <a:endParaRPr lang="en-US" altLang="zh-TW" sz="1100" b="0" baseline="0">
            <a:solidFill>
              <a:srgbClr val="FF0000"/>
            </a:solidFill>
          </a:endParaRPr>
        </a:p>
        <a:p>
          <a:r>
            <a:rPr lang="en-US" altLang="zh-TW" sz="1100" b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All floors deny user control.</a:t>
          </a:r>
          <a:endParaRPr lang="zh-TW" altLang="en-US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7620</xdr:colOff>
      <xdr:row>136</xdr:row>
      <xdr:rowOff>144780</xdr:rowOff>
    </xdr:from>
    <xdr:to>
      <xdr:col>14</xdr:col>
      <xdr:colOff>312420</xdr:colOff>
      <xdr:row>138</xdr:row>
      <xdr:rowOff>114300</xdr:rowOff>
    </xdr:to>
    <xdr:sp macro="" textlink="">
      <xdr:nvSpPr>
        <xdr:cNvPr id="267" name="文字方塊 266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 txBox="1"/>
      </xdr:nvSpPr>
      <xdr:spPr>
        <a:xfrm>
          <a:off x="7284720" y="27188160"/>
          <a:ext cx="2354580" cy="3657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altLang="zh-TW" sz="1100" b="0">
              <a:solidFill>
                <a:srgbClr val="FF0000"/>
              </a:solidFill>
            </a:rPr>
            <a:t>AGV</a:t>
          </a:r>
          <a:r>
            <a:rPr lang="en-US" altLang="zh-TW" sz="1100" b="0" baseline="0">
              <a:solidFill>
                <a:srgbClr val="FF0000"/>
              </a:solidFill>
            </a:rPr>
            <a:t> start entering the lifter.</a:t>
          </a:r>
          <a:endParaRPr lang="zh-TW" altLang="en-US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251459</xdr:colOff>
      <xdr:row>75</xdr:row>
      <xdr:rowOff>163831</xdr:rowOff>
    </xdr:from>
    <xdr:to>
      <xdr:col>13</xdr:col>
      <xdr:colOff>342899</xdr:colOff>
      <xdr:row>89</xdr:row>
      <xdr:rowOff>137160</xdr:rowOff>
    </xdr:to>
    <xdr:grpSp>
      <xdr:nvGrpSpPr>
        <xdr:cNvPr id="268" name="群組 267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GrpSpPr/>
      </xdr:nvGrpSpPr>
      <xdr:grpSpPr>
        <a:xfrm>
          <a:off x="2590799" y="15226666"/>
          <a:ext cx="6486525" cy="2766059"/>
          <a:chOff x="3158489" y="5732146"/>
          <a:chExt cx="6465570" cy="5715074"/>
        </a:xfrm>
      </xdr:grpSpPr>
      <xdr:cxnSp macro="">
        <xdr:nvCxnSpPr>
          <xdr:cNvPr id="269" name="直線接點 268">
            <a:extLst>
              <a:ext uri="{FF2B5EF4-FFF2-40B4-BE49-F238E27FC236}">
                <a16:creationId xmlns:a16="http://schemas.microsoft.com/office/drawing/2014/main" id="{00000000-0008-0000-0500-00000D010000}"/>
              </a:ext>
            </a:extLst>
          </xdr:cNvPr>
          <xdr:cNvCxnSpPr/>
        </xdr:nvCxnSpPr>
        <xdr:spPr>
          <a:xfrm rot="5400000">
            <a:off x="1908216" y="8594049"/>
            <a:ext cx="5704755" cy="1588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0" name="直線接點 269">
            <a:extLst>
              <a:ext uri="{FF2B5EF4-FFF2-40B4-BE49-F238E27FC236}">
                <a16:creationId xmlns:a16="http://schemas.microsoft.com/office/drawing/2014/main" id="{00000000-0008-0000-0500-00000E010000}"/>
              </a:ext>
            </a:extLst>
          </xdr:cNvPr>
          <xdr:cNvCxnSpPr/>
        </xdr:nvCxnSpPr>
        <xdr:spPr>
          <a:xfrm rot="5400000">
            <a:off x="5000031" y="8594049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1" name="直線接點 270">
            <a:extLst>
              <a:ext uri="{FF2B5EF4-FFF2-40B4-BE49-F238E27FC236}">
                <a16:creationId xmlns:a16="http://schemas.microsoft.com/office/drawing/2014/main" id="{00000000-0008-0000-0500-00000F010000}"/>
              </a:ext>
            </a:extLst>
          </xdr:cNvPr>
          <xdr:cNvCxnSpPr/>
        </xdr:nvCxnSpPr>
        <xdr:spPr>
          <a:xfrm rot="5400000">
            <a:off x="6771681" y="8594049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2" name="直線接點 271">
            <a:extLst>
              <a:ext uri="{FF2B5EF4-FFF2-40B4-BE49-F238E27FC236}">
                <a16:creationId xmlns:a16="http://schemas.microsoft.com/office/drawing/2014/main" id="{00000000-0008-0000-0500-000010010000}"/>
              </a:ext>
            </a:extLst>
          </xdr:cNvPr>
          <xdr:cNvCxnSpPr/>
        </xdr:nvCxnSpPr>
        <xdr:spPr>
          <a:xfrm rot="5400000">
            <a:off x="306111" y="8584524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421005</xdr:colOff>
      <xdr:row>73</xdr:row>
      <xdr:rowOff>171450</xdr:rowOff>
    </xdr:from>
    <xdr:to>
      <xdr:col>14</xdr:col>
      <xdr:colOff>169545</xdr:colOff>
      <xdr:row>75</xdr:row>
      <xdr:rowOff>114300</xdr:rowOff>
    </xdr:to>
    <xdr:grpSp>
      <xdr:nvGrpSpPr>
        <xdr:cNvPr id="273" name="群組 272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GrpSpPr/>
      </xdr:nvGrpSpPr>
      <xdr:grpSpPr>
        <a:xfrm>
          <a:off x="2145030" y="14817090"/>
          <a:ext cx="7381875" cy="356235"/>
          <a:chOff x="2722245" y="403860"/>
          <a:chExt cx="7357110" cy="350520"/>
        </a:xfrm>
      </xdr:grpSpPr>
      <xdr:sp macro="" textlink="">
        <xdr:nvSpPr>
          <xdr:cNvPr id="274" name="矩形 273">
            <a:extLst>
              <a:ext uri="{FF2B5EF4-FFF2-40B4-BE49-F238E27FC236}">
                <a16:creationId xmlns:a16="http://schemas.microsoft.com/office/drawing/2014/main" id="{00000000-0008-0000-0500-000012010000}"/>
              </a:ext>
            </a:extLst>
          </xdr:cNvPr>
          <xdr:cNvSpPr/>
        </xdr:nvSpPr>
        <xdr:spPr>
          <a:xfrm>
            <a:off x="4278630" y="403860"/>
            <a:ext cx="97155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MCS</a:t>
            </a:r>
            <a:endParaRPr lang="zh-TW" altLang="en-US" sz="1100"/>
          </a:p>
        </xdr:txBody>
      </xdr:sp>
      <xdr:sp macro="" textlink="">
        <xdr:nvSpPr>
          <xdr:cNvPr id="275" name="矩形 274">
            <a:extLst>
              <a:ext uri="{FF2B5EF4-FFF2-40B4-BE49-F238E27FC236}">
                <a16:creationId xmlns:a16="http://schemas.microsoft.com/office/drawing/2014/main" id="{00000000-0008-0000-0500-000013010000}"/>
              </a:ext>
            </a:extLst>
          </xdr:cNvPr>
          <xdr:cNvSpPr/>
        </xdr:nvSpPr>
        <xdr:spPr>
          <a:xfrm>
            <a:off x="7355205" y="403860"/>
            <a:ext cx="96012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Lifter</a:t>
            </a:r>
          </a:p>
        </xdr:txBody>
      </xdr:sp>
      <xdr:sp macro="" textlink="">
        <xdr:nvSpPr>
          <xdr:cNvPr id="276" name="矩形 275">
            <a:extLst>
              <a:ext uri="{FF2B5EF4-FFF2-40B4-BE49-F238E27FC236}">
                <a16:creationId xmlns:a16="http://schemas.microsoft.com/office/drawing/2014/main" id="{00000000-0008-0000-0500-000014010000}"/>
              </a:ext>
            </a:extLst>
          </xdr:cNvPr>
          <xdr:cNvSpPr/>
        </xdr:nvSpPr>
        <xdr:spPr>
          <a:xfrm>
            <a:off x="9187815" y="403860"/>
            <a:ext cx="89154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AGVC</a:t>
            </a:r>
            <a:endParaRPr lang="zh-TW" altLang="en-US" sz="1100"/>
          </a:p>
        </xdr:txBody>
      </xdr:sp>
      <xdr:sp macro="" textlink="">
        <xdr:nvSpPr>
          <xdr:cNvPr id="277" name="矩形 276">
            <a:extLst>
              <a:ext uri="{FF2B5EF4-FFF2-40B4-BE49-F238E27FC236}">
                <a16:creationId xmlns:a16="http://schemas.microsoft.com/office/drawing/2014/main" id="{00000000-0008-0000-0500-000015010000}"/>
              </a:ext>
            </a:extLst>
          </xdr:cNvPr>
          <xdr:cNvSpPr/>
        </xdr:nvSpPr>
        <xdr:spPr>
          <a:xfrm>
            <a:off x="2722245" y="403860"/>
            <a:ext cx="891540" cy="340995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DCS</a:t>
            </a:r>
            <a:endParaRPr lang="zh-TW" altLang="en-US" sz="1100"/>
          </a:p>
        </xdr:txBody>
      </xdr:sp>
    </xdr:grpSp>
    <xdr:clientData/>
  </xdr:twoCellAnchor>
  <xdr:twoCellAnchor>
    <xdr:from>
      <xdr:col>6</xdr:col>
      <xdr:colOff>60960</xdr:colOff>
      <xdr:row>78</xdr:row>
      <xdr:rowOff>49462</xdr:rowOff>
    </xdr:from>
    <xdr:to>
      <xdr:col>10</xdr:col>
      <xdr:colOff>575312</xdr:colOff>
      <xdr:row>87</xdr:row>
      <xdr:rowOff>171530</xdr:rowOff>
    </xdr:to>
    <xdr:grpSp>
      <xdr:nvGrpSpPr>
        <xdr:cNvPr id="278" name="群組 277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GrpSpPr/>
      </xdr:nvGrpSpPr>
      <xdr:grpSpPr>
        <a:xfrm>
          <a:off x="4257675" y="15710467"/>
          <a:ext cx="2996567" cy="1916578"/>
          <a:chOff x="9624061" y="6658706"/>
          <a:chExt cx="2560320" cy="2191923"/>
        </a:xfrm>
      </xdr:grpSpPr>
      <xdr:grpSp>
        <xdr:nvGrpSpPr>
          <xdr:cNvPr id="279" name="群組 278">
            <a:extLst>
              <a:ext uri="{FF2B5EF4-FFF2-40B4-BE49-F238E27FC236}">
                <a16:creationId xmlns:a16="http://schemas.microsoft.com/office/drawing/2014/main" id="{00000000-0008-0000-0500-000017010000}"/>
              </a:ext>
            </a:extLst>
          </xdr:cNvPr>
          <xdr:cNvGrpSpPr/>
        </xdr:nvGrpSpPr>
        <xdr:grpSpPr>
          <a:xfrm>
            <a:off x="9654782" y="7613784"/>
            <a:ext cx="2471595" cy="569159"/>
            <a:chOff x="1743074" y="904875"/>
            <a:chExt cx="2001600" cy="303493"/>
          </a:xfrm>
        </xdr:grpSpPr>
        <xdr:sp macro="" textlink="">
          <xdr:nvSpPr>
            <xdr:cNvPr id="288" name="文字方塊 287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 txBox="1"/>
          </xdr:nvSpPr>
          <xdr:spPr>
            <a:xfrm>
              <a:off x="1775659" y="943615"/>
              <a:ext cx="1838325" cy="2647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TW" sz="1100"/>
                <a:t>LifterStatusReport()</a:t>
              </a:r>
              <a:br>
                <a:rPr lang="en-US" altLang="zh-TW" sz="1100"/>
              </a:br>
              <a:r>
                <a:rPr lang="zh-TW" altLang="zh-TW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目標樓層移動</a:t>
              </a:r>
              <a:r>
                <a:rPr lang="zh-TW" alt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狀態報告</a:t>
              </a:r>
              <a:endParaRPr lang="zh-TW" altLang="en-US" sz="1100"/>
            </a:p>
          </xdr:txBody>
        </xdr:sp>
        <xdr:cxnSp macro="">
          <xdr:nvCxnSpPr>
            <xdr:cNvPr id="289" name="直線單箭頭接點 288">
              <a:extLst>
                <a:ext uri="{FF2B5EF4-FFF2-40B4-BE49-F238E27FC236}">
                  <a16:creationId xmlns:a16="http://schemas.microsoft.com/office/drawing/2014/main" id="{00000000-0008-0000-0500-000021010000}"/>
                </a:ext>
              </a:extLst>
            </xdr:cNvPr>
            <xdr:cNvCxnSpPr/>
          </xdr:nvCxnSpPr>
          <xdr:spPr>
            <a:xfrm>
              <a:off x="1743074" y="904875"/>
              <a:ext cx="2001600" cy="0"/>
            </a:xfrm>
            <a:prstGeom prst="straightConnector1">
              <a:avLst/>
            </a:prstGeom>
            <a:ln w="15875">
              <a:headEnd type="triangl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0" name="直線單箭頭接點 289">
              <a:extLst>
                <a:ext uri="{FF2B5EF4-FFF2-40B4-BE49-F238E27FC236}">
                  <a16:creationId xmlns:a16="http://schemas.microsoft.com/office/drawing/2014/main" id="{00000000-0008-0000-0500-000022010000}"/>
                </a:ext>
              </a:extLst>
            </xdr:cNvPr>
            <xdr:cNvCxnSpPr/>
          </xdr:nvCxnSpPr>
          <xdr:spPr>
            <a:xfrm rot="10800000" flipV="1">
              <a:off x="1743075" y="953139"/>
              <a:ext cx="2000250" cy="2"/>
            </a:xfrm>
            <a:prstGeom prst="straightConnector1">
              <a:avLst/>
            </a:prstGeom>
            <a:ln w="15875">
              <a:headEnd type="triangl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80" name="群組 279">
            <a:extLst>
              <a:ext uri="{FF2B5EF4-FFF2-40B4-BE49-F238E27FC236}">
                <a16:creationId xmlns:a16="http://schemas.microsoft.com/office/drawing/2014/main" id="{00000000-0008-0000-0500-000018010000}"/>
              </a:ext>
            </a:extLst>
          </xdr:cNvPr>
          <xdr:cNvGrpSpPr/>
        </xdr:nvGrpSpPr>
        <xdr:grpSpPr>
          <a:xfrm>
            <a:off x="9685504" y="6658706"/>
            <a:ext cx="2440873" cy="676041"/>
            <a:chOff x="1743074" y="904875"/>
            <a:chExt cx="2001600" cy="321852"/>
          </a:xfrm>
        </xdr:grpSpPr>
        <xdr:sp macro="" textlink="">
          <xdr:nvSpPr>
            <xdr:cNvPr id="285" name="文字方塊 284">
              <a:extLst>
                <a:ext uri="{FF2B5EF4-FFF2-40B4-BE49-F238E27FC236}">
                  <a16:creationId xmlns:a16="http://schemas.microsoft.com/office/drawing/2014/main" id="{00000000-0008-0000-0500-00001D010000}"/>
                </a:ext>
              </a:extLst>
            </xdr:cNvPr>
            <xdr:cNvSpPr txBox="1"/>
          </xdr:nvSpPr>
          <xdr:spPr>
            <a:xfrm>
              <a:off x="1775659" y="943614"/>
              <a:ext cx="1838325" cy="283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TW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LifterMoveTaskReport</a:t>
              </a:r>
              <a:r>
                <a:rPr lang="en-US" altLang="zh-TW" sz="1100"/>
                <a:t>()</a:t>
              </a:r>
              <a:br>
                <a:rPr lang="en-US" altLang="zh-TW" sz="1100"/>
              </a:br>
              <a:r>
                <a:rPr lang="zh-TW" altLang="zh-TW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自動關門</a:t>
              </a:r>
              <a:r>
                <a:rPr lang="zh-TW" alt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後上報</a:t>
              </a:r>
              <a:endParaRPr lang="zh-TW" altLang="zh-TW">
                <a:effectLst/>
              </a:endParaRPr>
            </a:p>
            <a:p>
              <a:r>
                <a:rPr lang="en-US" altLang="zh-TW" sz="1100"/>
                <a:t>Move</a:t>
              </a:r>
              <a:r>
                <a:rPr lang="en-US" altLang="zh-TW" sz="1100" baseline="0"/>
                <a:t> </a:t>
              </a:r>
              <a:r>
                <a:rPr lang="zh-TW" altLang="en-US" sz="1100" baseline="0"/>
                <a:t>任務</a:t>
              </a:r>
              <a:r>
                <a:rPr lang="zh-TW" altLang="en-US" sz="1100"/>
                <a:t>狀態回報</a:t>
              </a:r>
              <a:r>
                <a:rPr lang="en-US" altLang="zh-TW" sz="1100"/>
                <a:t>Task "START".</a:t>
              </a:r>
              <a:endParaRPr lang="zh-TW" altLang="en-US" sz="1100"/>
            </a:p>
          </xdr:txBody>
        </xdr:sp>
        <xdr:cxnSp macro="">
          <xdr:nvCxnSpPr>
            <xdr:cNvPr id="286" name="直線單箭頭接點 285">
              <a:extLst>
                <a:ext uri="{FF2B5EF4-FFF2-40B4-BE49-F238E27FC236}">
                  <a16:creationId xmlns:a16="http://schemas.microsoft.com/office/drawing/2014/main" id="{00000000-0008-0000-0500-00001E010000}"/>
                </a:ext>
              </a:extLst>
            </xdr:cNvPr>
            <xdr:cNvCxnSpPr/>
          </xdr:nvCxnSpPr>
          <xdr:spPr>
            <a:xfrm>
              <a:off x="1743074" y="904875"/>
              <a:ext cx="2001600" cy="0"/>
            </a:xfrm>
            <a:prstGeom prst="straightConnector1">
              <a:avLst/>
            </a:prstGeom>
            <a:ln w="15875">
              <a:headEnd type="triangl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7" name="直線單箭頭接點 286">
              <a:extLst>
                <a:ext uri="{FF2B5EF4-FFF2-40B4-BE49-F238E27FC236}">
                  <a16:creationId xmlns:a16="http://schemas.microsoft.com/office/drawing/2014/main" id="{00000000-0008-0000-0500-00001F010000}"/>
                </a:ext>
              </a:extLst>
            </xdr:cNvPr>
            <xdr:cNvCxnSpPr/>
          </xdr:nvCxnSpPr>
          <xdr:spPr>
            <a:xfrm rot="10800000" flipV="1">
              <a:off x="1743075" y="953139"/>
              <a:ext cx="2000250" cy="2"/>
            </a:xfrm>
            <a:prstGeom prst="straightConnector1">
              <a:avLst/>
            </a:prstGeom>
            <a:ln w="15875">
              <a:headEnd type="triangl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81" name="群組 280">
            <a:extLst>
              <a:ext uri="{FF2B5EF4-FFF2-40B4-BE49-F238E27FC236}">
                <a16:creationId xmlns:a16="http://schemas.microsoft.com/office/drawing/2014/main" id="{00000000-0008-0000-0500-000019010000}"/>
              </a:ext>
            </a:extLst>
          </xdr:cNvPr>
          <xdr:cNvGrpSpPr/>
        </xdr:nvGrpSpPr>
        <xdr:grpSpPr>
          <a:xfrm>
            <a:off x="9624061" y="8282940"/>
            <a:ext cx="2560320" cy="567689"/>
            <a:chOff x="1743074" y="904875"/>
            <a:chExt cx="2001600" cy="321852"/>
          </a:xfrm>
        </xdr:grpSpPr>
        <xdr:sp macro="" textlink="">
          <xdr:nvSpPr>
            <xdr:cNvPr id="282" name="文字方塊 281">
              <a:extLst>
                <a:ext uri="{FF2B5EF4-FFF2-40B4-BE49-F238E27FC236}">
                  <a16:creationId xmlns:a16="http://schemas.microsoft.com/office/drawing/2014/main" id="{00000000-0008-0000-0500-00001A010000}"/>
                </a:ext>
              </a:extLst>
            </xdr:cNvPr>
            <xdr:cNvSpPr txBox="1"/>
          </xdr:nvSpPr>
          <xdr:spPr>
            <a:xfrm>
              <a:off x="1775659" y="943614"/>
              <a:ext cx="1838325" cy="283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TW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LifterMoveTaskReport</a:t>
              </a:r>
              <a:r>
                <a:rPr lang="en-US" altLang="zh-TW" sz="1100"/>
                <a:t>()</a:t>
              </a:r>
              <a:br>
                <a:rPr lang="en-US" altLang="zh-TW" sz="1100"/>
              </a:br>
              <a:r>
                <a:rPr lang="en-US" altLang="zh-TW" sz="1100"/>
                <a:t>Move</a:t>
              </a:r>
              <a:r>
                <a:rPr lang="en-US" altLang="zh-TW" sz="1100" baseline="0"/>
                <a:t> </a:t>
              </a:r>
              <a:r>
                <a:rPr lang="zh-TW" altLang="en-US" sz="1100" baseline="0"/>
                <a:t>任務</a:t>
              </a:r>
              <a:r>
                <a:rPr lang="zh-TW" altLang="en-US" sz="1100"/>
                <a:t>狀態回報</a:t>
              </a:r>
              <a:r>
                <a:rPr lang="en-US" altLang="zh-TW" sz="1100"/>
                <a:t>Task</a:t>
              </a:r>
              <a:r>
                <a:rPr lang="en-US" altLang="zh-TW" sz="1100" baseline="0"/>
                <a:t> </a:t>
              </a:r>
              <a:r>
                <a:rPr lang="en-US" altLang="zh-TW" sz="1100">
                  <a:solidFill>
                    <a:srgbClr val="FF0000"/>
                  </a:solidFill>
                </a:rPr>
                <a:t>"ABOT"</a:t>
              </a:r>
              <a:endParaRPr lang="zh-TW" altLang="en-US" sz="1100"/>
            </a:p>
          </xdr:txBody>
        </xdr:sp>
        <xdr:cxnSp macro="">
          <xdr:nvCxnSpPr>
            <xdr:cNvPr id="283" name="直線單箭頭接點 282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CxnSpPr/>
          </xdr:nvCxnSpPr>
          <xdr:spPr>
            <a:xfrm>
              <a:off x="1743074" y="904875"/>
              <a:ext cx="2001600" cy="0"/>
            </a:xfrm>
            <a:prstGeom prst="straightConnector1">
              <a:avLst/>
            </a:prstGeom>
            <a:ln w="15875">
              <a:headEnd type="triangl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4" name="直線單箭頭接點 283">
              <a:extLst>
                <a:ext uri="{FF2B5EF4-FFF2-40B4-BE49-F238E27FC236}">
                  <a16:creationId xmlns:a16="http://schemas.microsoft.com/office/drawing/2014/main" id="{00000000-0008-0000-0500-00001C010000}"/>
                </a:ext>
              </a:extLst>
            </xdr:cNvPr>
            <xdr:cNvCxnSpPr/>
          </xdr:nvCxnSpPr>
          <xdr:spPr>
            <a:xfrm rot="10800000" flipV="1">
              <a:off x="1743075" y="953139"/>
              <a:ext cx="2000250" cy="2"/>
            </a:xfrm>
            <a:prstGeom prst="straightConnector1">
              <a:avLst/>
            </a:prstGeom>
            <a:ln w="15875">
              <a:headEnd type="triangle"/>
              <a:tailEnd type="non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586740</xdr:colOff>
      <xdr:row>85</xdr:row>
      <xdr:rowOff>30480</xdr:rowOff>
    </xdr:from>
    <xdr:to>
      <xdr:col>13</xdr:col>
      <xdr:colOff>510540</xdr:colOff>
      <xdr:row>87</xdr:row>
      <xdr:rowOff>182880</xdr:rowOff>
    </xdr:to>
    <xdr:sp macro="" textlink="">
      <xdr:nvSpPr>
        <xdr:cNvPr id="291" name="文字方塊 290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SpPr txBox="1"/>
      </xdr:nvSpPr>
      <xdr:spPr>
        <a:xfrm>
          <a:off x="7246620" y="16916400"/>
          <a:ext cx="1973580" cy="548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zh-TW" altLang="en-US" sz="1100" b="0" baseline="0">
              <a:solidFill>
                <a:srgbClr val="FF0000"/>
              </a:solidFill>
            </a:rPr>
            <a:t>當任務無法完成時，通知</a:t>
          </a:r>
          <a:r>
            <a:rPr lang="en-US" altLang="zh-TW" sz="1100" b="0" baseline="0">
              <a:solidFill>
                <a:srgbClr val="FF0000"/>
              </a:solidFill>
            </a:rPr>
            <a:t>MCS</a:t>
          </a:r>
          <a:r>
            <a:rPr lang="zh-TW" altLang="en-US" sz="1100" b="0" baseline="0">
              <a:solidFill>
                <a:srgbClr val="FF0000"/>
              </a:solidFill>
            </a:rPr>
            <a:t> 任務異常結束，並顯示電梯異常，通知人員處理。</a:t>
          </a:r>
          <a:endParaRPr lang="zh-TW" altLang="en-US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342900</xdr:colOff>
      <xdr:row>260</xdr:row>
      <xdr:rowOff>25439</xdr:rowOff>
    </xdr:from>
    <xdr:to>
      <xdr:col>10</xdr:col>
      <xdr:colOff>533399</xdr:colOff>
      <xdr:row>262</xdr:row>
      <xdr:rowOff>170218</xdr:rowOff>
    </xdr:to>
    <xdr:grpSp>
      <xdr:nvGrpSpPr>
        <xdr:cNvPr id="292" name="群組 291">
          <a:extLst>
            <a:ext uri="{FF2B5EF4-FFF2-40B4-BE49-F238E27FC236}">
              <a16:creationId xmlns:a16="http://schemas.microsoft.com/office/drawing/2014/main" id="{00000000-0008-0000-0500-000024010000}"/>
            </a:ext>
          </a:extLst>
        </xdr:cNvPr>
        <xdr:cNvGrpSpPr/>
      </xdr:nvGrpSpPr>
      <xdr:grpSpPr>
        <a:xfrm flipH="1">
          <a:off x="4543425" y="52218629"/>
          <a:ext cx="2666999" cy="561974"/>
          <a:chOff x="1743074" y="904875"/>
          <a:chExt cx="2016300" cy="339922"/>
        </a:xfrm>
      </xdr:grpSpPr>
      <xdr:sp macro="" textlink="">
        <xdr:nvSpPr>
          <xdr:cNvPr id="293" name="文字方塊 292">
            <a:extLst>
              <a:ext uri="{FF2B5EF4-FFF2-40B4-BE49-F238E27FC236}">
                <a16:creationId xmlns:a16="http://schemas.microsoft.com/office/drawing/2014/main" id="{00000000-0008-0000-0500-000025010000}"/>
              </a:ext>
            </a:extLst>
          </xdr:cNvPr>
          <xdr:cNvSpPr txBox="1"/>
        </xdr:nvSpPr>
        <xdr:spPr>
          <a:xfrm>
            <a:off x="1781870" y="978832"/>
            <a:ext cx="1977504" cy="26596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algn="r"/>
            <a:r>
              <a:rPr lang="en-US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lifterInfoRequest</a:t>
            </a:r>
            <a:r>
              <a:rPr lang="en-US" altLang="zh-TW" sz="1100"/>
              <a:t>()</a:t>
            </a:r>
            <a:br>
              <a:rPr lang="en-US" altLang="zh-TW" sz="1100"/>
            </a:br>
            <a:r>
              <a:rPr lang="zh-TW" altLang="en-US" sz="1100"/>
              <a:t>查詢所有電梯狀態查詢</a:t>
            </a:r>
          </a:p>
        </xdr:txBody>
      </xdr:sp>
      <xdr:cxnSp macro="">
        <xdr:nvCxnSpPr>
          <xdr:cNvPr id="294" name="直線單箭頭接點 293">
            <a:extLst>
              <a:ext uri="{FF2B5EF4-FFF2-40B4-BE49-F238E27FC236}">
                <a16:creationId xmlns:a16="http://schemas.microsoft.com/office/drawing/2014/main" id="{00000000-0008-0000-0500-000026010000}"/>
              </a:ext>
            </a:extLst>
          </xdr:cNvPr>
          <xdr:cNvCxnSpPr/>
        </xdr:nvCxnSpPr>
        <xdr:spPr>
          <a:xfrm>
            <a:off x="1743074" y="904875"/>
            <a:ext cx="2001600" cy="0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5" name="直線單箭頭接點 294">
            <a:extLst>
              <a:ext uri="{FF2B5EF4-FFF2-40B4-BE49-F238E27FC236}">
                <a16:creationId xmlns:a16="http://schemas.microsoft.com/office/drawing/2014/main" id="{00000000-0008-0000-0500-000027010000}"/>
              </a:ext>
            </a:extLst>
          </xdr:cNvPr>
          <xdr:cNvCxnSpPr/>
        </xdr:nvCxnSpPr>
        <xdr:spPr>
          <a:xfrm rot="10800000" flipV="1">
            <a:off x="1743075" y="977589"/>
            <a:ext cx="2000250" cy="2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421005</xdr:colOff>
      <xdr:row>255</xdr:row>
      <xdr:rowOff>171450</xdr:rowOff>
    </xdr:from>
    <xdr:to>
      <xdr:col>16</xdr:col>
      <xdr:colOff>245745</xdr:colOff>
      <xdr:row>257</xdr:row>
      <xdr:rowOff>114300</xdr:rowOff>
    </xdr:to>
    <xdr:grpSp>
      <xdr:nvGrpSpPr>
        <xdr:cNvPr id="296" name="群組 295">
          <a:extLst>
            <a:ext uri="{FF2B5EF4-FFF2-40B4-BE49-F238E27FC236}">
              <a16:creationId xmlns:a16="http://schemas.microsoft.com/office/drawing/2014/main" id="{00000000-0008-0000-0500-000028010000}"/>
            </a:ext>
          </a:extLst>
        </xdr:cNvPr>
        <xdr:cNvGrpSpPr/>
      </xdr:nvGrpSpPr>
      <xdr:grpSpPr>
        <a:xfrm>
          <a:off x="2145030" y="51335940"/>
          <a:ext cx="8696325" cy="356235"/>
          <a:chOff x="2722245" y="403860"/>
          <a:chExt cx="8667750" cy="350520"/>
        </a:xfrm>
      </xdr:grpSpPr>
      <xdr:sp macro="" textlink="">
        <xdr:nvSpPr>
          <xdr:cNvPr id="297" name="矩形 296">
            <a:extLst>
              <a:ext uri="{FF2B5EF4-FFF2-40B4-BE49-F238E27FC236}">
                <a16:creationId xmlns:a16="http://schemas.microsoft.com/office/drawing/2014/main" id="{00000000-0008-0000-0500-000029010000}"/>
              </a:ext>
            </a:extLst>
          </xdr:cNvPr>
          <xdr:cNvSpPr/>
        </xdr:nvSpPr>
        <xdr:spPr>
          <a:xfrm>
            <a:off x="4595616" y="403860"/>
            <a:ext cx="99441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MCS</a:t>
            </a:r>
            <a:endParaRPr lang="zh-TW" altLang="en-US" sz="1100"/>
          </a:p>
        </xdr:txBody>
      </xdr:sp>
      <xdr:sp macro="" textlink="">
        <xdr:nvSpPr>
          <xdr:cNvPr id="298" name="矩形 297">
            <a:extLst>
              <a:ext uri="{FF2B5EF4-FFF2-40B4-BE49-F238E27FC236}">
                <a16:creationId xmlns:a16="http://schemas.microsoft.com/office/drawing/2014/main" id="{00000000-0008-0000-0500-00002A010000}"/>
              </a:ext>
            </a:extLst>
          </xdr:cNvPr>
          <xdr:cNvSpPr/>
        </xdr:nvSpPr>
        <xdr:spPr>
          <a:xfrm>
            <a:off x="7355205" y="403860"/>
            <a:ext cx="96012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Lifter</a:t>
            </a:r>
          </a:p>
        </xdr:txBody>
      </xdr:sp>
      <xdr:sp macro="" textlink="">
        <xdr:nvSpPr>
          <xdr:cNvPr id="299" name="矩形 298">
            <a:extLst>
              <a:ext uri="{FF2B5EF4-FFF2-40B4-BE49-F238E27FC236}">
                <a16:creationId xmlns:a16="http://schemas.microsoft.com/office/drawing/2014/main" id="{00000000-0008-0000-0500-00002B010000}"/>
              </a:ext>
            </a:extLst>
          </xdr:cNvPr>
          <xdr:cNvSpPr/>
        </xdr:nvSpPr>
        <xdr:spPr>
          <a:xfrm>
            <a:off x="9187815" y="403860"/>
            <a:ext cx="89154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AGVC</a:t>
            </a:r>
            <a:endParaRPr lang="zh-TW" altLang="en-US" sz="1100"/>
          </a:p>
        </xdr:txBody>
      </xdr:sp>
      <xdr:sp macro="" textlink="">
        <xdr:nvSpPr>
          <xdr:cNvPr id="300" name="矩形 299">
            <a:extLst>
              <a:ext uri="{FF2B5EF4-FFF2-40B4-BE49-F238E27FC236}">
                <a16:creationId xmlns:a16="http://schemas.microsoft.com/office/drawing/2014/main" id="{00000000-0008-0000-0500-00002C010000}"/>
              </a:ext>
            </a:extLst>
          </xdr:cNvPr>
          <xdr:cNvSpPr/>
        </xdr:nvSpPr>
        <xdr:spPr>
          <a:xfrm>
            <a:off x="10498455" y="403860"/>
            <a:ext cx="89154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ASRS</a:t>
            </a:r>
            <a:endParaRPr lang="zh-TW" altLang="en-US" sz="1100"/>
          </a:p>
        </xdr:txBody>
      </xdr:sp>
      <xdr:sp macro="" textlink="">
        <xdr:nvSpPr>
          <xdr:cNvPr id="301" name="矩形 300">
            <a:extLst>
              <a:ext uri="{FF2B5EF4-FFF2-40B4-BE49-F238E27FC236}">
                <a16:creationId xmlns:a16="http://schemas.microsoft.com/office/drawing/2014/main" id="{00000000-0008-0000-0500-00002D010000}"/>
              </a:ext>
            </a:extLst>
          </xdr:cNvPr>
          <xdr:cNvSpPr/>
        </xdr:nvSpPr>
        <xdr:spPr>
          <a:xfrm>
            <a:off x="2722245" y="403860"/>
            <a:ext cx="891540" cy="340995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DCS</a:t>
            </a:r>
            <a:endParaRPr lang="zh-TW" altLang="en-US" sz="1100"/>
          </a:p>
        </xdr:txBody>
      </xdr:sp>
    </xdr:grpSp>
    <xdr:clientData/>
  </xdr:twoCellAnchor>
  <xdr:twoCellAnchor>
    <xdr:from>
      <xdr:col>4</xdr:col>
      <xdr:colOff>437479</xdr:colOff>
      <xdr:row>259</xdr:row>
      <xdr:rowOff>127746</xdr:rowOff>
    </xdr:from>
    <xdr:to>
      <xdr:col>7</xdr:col>
      <xdr:colOff>26670</xdr:colOff>
      <xdr:row>261</xdr:row>
      <xdr:rowOff>37315</xdr:rowOff>
    </xdr:to>
    <xdr:sp macro="" textlink="">
      <xdr:nvSpPr>
        <xdr:cNvPr id="302" name="文字方塊 301">
          <a:extLst>
            <a:ext uri="{FF2B5EF4-FFF2-40B4-BE49-F238E27FC236}">
              <a16:creationId xmlns:a16="http://schemas.microsoft.com/office/drawing/2014/main" id="{00000000-0008-0000-0500-00002E010000}"/>
            </a:ext>
          </a:extLst>
        </xdr:cNvPr>
        <xdr:cNvSpPr txBox="1"/>
      </xdr:nvSpPr>
      <xdr:spPr>
        <a:xfrm>
          <a:off x="3394039" y="51585606"/>
          <a:ext cx="1440851" cy="3210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zh-TW" altLang="en-US" sz="12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電梯狀態查詢</a:t>
          </a:r>
          <a:endParaRPr lang="en-US" altLang="zh-TW" sz="1200">
            <a:solidFill>
              <a:srgbClr val="FF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3</xdr:col>
      <xdr:colOff>283734</xdr:colOff>
      <xdr:row>257</xdr:row>
      <xdr:rowOff>136152</xdr:rowOff>
    </xdr:from>
    <xdr:to>
      <xdr:col>13</xdr:col>
      <xdr:colOff>266965</xdr:colOff>
      <xdr:row>273</xdr:row>
      <xdr:rowOff>158787</xdr:rowOff>
    </xdr:to>
    <xdr:grpSp>
      <xdr:nvGrpSpPr>
        <xdr:cNvPr id="303" name="群組 302">
          <a:extLst>
            <a:ext uri="{FF2B5EF4-FFF2-40B4-BE49-F238E27FC236}">
              <a16:creationId xmlns:a16="http://schemas.microsoft.com/office/drawing/2014/main" id="{00000000-0008-0000-0500-00002F010000}"/>
            </a:ext>
          </a:extLst>
        </xdr:cNvPr>
        <xdr:cNvGrpSpPr/>
      </xdr:nvGrpSpPr>
      <xdr:grpSpPr>
        <a:xfrm>
          <a:off x="2630694" y="51710217"/>
          <a:ext cx="6370696" cy="3257325"/>
          <a:chOff x="3158489" y="5732146"/>
          <a:chExt cx="6465570" cy="5715074"/>
        </a:xfrm>
      </xdr:grpSpPr>
      <xdr:cxnSp macro="">
        <xdr:nvCxnSpPr>
          <xdr:cNvPr id="304" name="直線接點 303">
            <a:extLst>
              <a:ext uri="{FF2B5EF4-FFF2-40B4-BE49-F238E27FC236}">
                <a16:creationId xmlns:a16="http://schemas.microsoft.com/office/drawing/2014/main" id="{00000000-0008-0000-0500-000030010000}"/>
              </a:ext>
            </a:extLst>
          </xdr:cNvPr>
          <xdr:cNvCxnSpPr/>
        </xdr:nvCxnSpPr>
        <xdr:spPr>
          <a:xfrm rot="5400000">
            <a:off x="2250409" y="8594049"/>
            <a:ext cx="5704755" cy="1588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5" name="直線接點 304">
            <a:extLst>
              <a:ext uri="{FF2B5EF4-FFF2-40B4-BE49-F238E27FC236}">
                <a16:creationId xmlns:a16="http://schemas.microsoft.com/office/drawing/2014/main" id="{00000000-0008-0000-0500-000031010000}"/>
              </a:ext>
            </a:extLst>
          </xdr:cNvPr>
          <xdr:cNvCxnSpPr/>
        </xdr:nvCxnSpPr>
        <xdr:spPr>
          <a:xfrm rot="5400000">
            <a:off x="5000031" y="8594049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6" name="直線接點 305">
            <a:extLst>
              <a:ext uri="{FF2B5EF4-FFF2-40B4-BE49-F238E27FC236}">
                <a16:creationId xmlns:a16="http://schemas.microsoft.com/office/drawing/2014/main" id="{00000000-0008-0000-0500-000032010000}"/>
              </a:ext>
            </a:extLst>
          </xdr:cNvPr>
          <xdr:cNvCxnSpPr/>
        </xdr:nvCxnSpPr>
        <xdr:spPr>
          <a:xfrm rot="5400000">
            <a:off x="6771681" y="8594049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7" name="直線接點 306">
            <a:extLst>
              <a:ext uri="{FF2B5EF4-FFF2-40B4-BE49-F238E27FC236}">
                <a16:creationId xmlns:a16="http://schemas.microsoft.com/office/drawing/2014/main" id="{00000000-0008-0000-0500-000033010000}"/>
              </a:ext>
            </a:extLst>
          </xdr:cNvPr>
          <xdr:cNvCxnSpPr/>
        </xdr:nvCxnSpPr>
        <xdr:spPr>
          <a:xfrm rot="5400000">
            <a:off x="306111" y="8584524"/>
            <a:ext cx="570475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365759</xdr:colOff>
      <xdr:row>265</xdr:row>
      <xdr:rowOff>4818</xdr:rowOff>
    </xdr:from>
    <xdr:to>
      <xdr:col>10</xdr:col>
      <xdr:colOff>533399</xdr:colOff>
      <xdr:row>267</xdr:row>
      <xdr:rowOff>100067</xdr:rowOff>
    </xdr:to>
    <xdr:grpSp>
      <xdr:nvGrpSpPr>
        <xdr:cNvPr id="308" name="群組 307">
          <a:extLst>
            <a:ext uri="{FF2B5EF4-FFF2-40B4-BE49-F238E27FC236}">
              <a16:creationId xmlns:a16="http://schemas.microsoft.com/office/drawing/2014/main" id="{00000000-0008-0000-0500-000034010000}"/>
            </a:ext>
          </a:extLst>
        </xdr:cNvPr>
        <xdr:cNvGrpSpPr/>
      </xdr:nvGrpSpPr>
      <xdr:grpSpPr>
        <a:xfrm flipH="1">
          <a:off x="4562474" y="53213373"/>
          <a:ext cx="2647950" cy="489584"/>
          <a:chOff x="1743074" y="904875"/>
          <a:chExt cx="2001600" cy="512986"/>
        </a:xfrm>
      </xdr:grpSpPr>
      <xdr:sp macro="" textlink="">
        <xdr:nvSpPr>
          <xdr:cNvPr id="309" name="文字方塊 308">
            <a:extLst>
              <a:ext uri="{FF2B5EF4-FFF2-40B4-BE49-F238E27FC236}">
                <a16:creationId xmlns:a16="http://schemas.microsoft.com/office/drawing/2014/main" id="{00000000-0008-0000-0500-000035010000}"/>
              </a:ext>
            </a:extLst>
          </xdr:cNvPr>
          <xdr:cNvSpPr txBox="1"/>
        </xdr:nvSpPr>
        <xdr:spPr>
          <a:xfrm>
            <a:off x="1761737" y="981075"/>
            <a:ext cx="1838325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LifterInfoUpload</a:t>
            </a:r>
            <a:r>
              <a:rPr lang="en-US" altLang="zh-TW" sz="1100"/>
              <a:t>()</a:t>
            </a:r>
            <a:br>
              <a:rPr lang="en-US" altLang="zh-TW" sz="1100"/>
            </a:br>
            <a:r>
              <a:rPr lang="zh-TW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電梯狀態</a:t>
            </a:r>
            <a:r>
              <a:rPr lang="zh-TW" alt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更新</a:t>
            </a:r>
            <a:endParaRPr lang="zh-TW" altLang="zh-TW">
              <a:effectLst/>
            </a:endParaRPr>
          </a:p>
        </xdr:txBody>
      </xdr:sp>
      <xdr:cxnSp macro="">
        <xdr:nvCxnSpPr>
          <xdr:cNvPr id="310" name="直線單箭頭接點 309">
            <a:extLst>
              <a:ext uri="{FF2B5EF4-FFF2-40B4-BE49-F238E27FC236}">
                <a16:creationId xmlns:a16="http://schemas.microsoft.com/office/drawing/2014/main" id="{00000000-0008-0000-0500-000036010000}"/>
              </a:ext>
            </a:extLst>
          </xdr:cNvPr>
          <xdr:cNvCxnSpPr/>
        </xdr:nvCxnSpPr>
        <xdr:spPr>
          <a:xfrm>
            <a:off x="1743074" y="904875"/>
            <a:ext cx="2001600" cy="0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1" name="直線單箭頭接點 310">
            <a:extLst>
              <a:ext uri="{FF2B5EF4-FFF2-40B4-BE49-F238E27FC236}">
                <a16:creationId xmlns:a16="http://schemas.microsoft.com/office/drawing/2014/main" id="{00000000-0008-0000-0500-000037010000}"/>
              </a:ext>
            </a:extLst>
          </xdr:cNvPr>
          <xdr:cNvCxnSpPr/>
        </xdr:nvCxnSpPr>
        <xdr:spPr>
          <a:xfrm rot="10800000" flipV="1">
            <a:off x="1743075" y="990600"/>
            <a:ext cx="2000250" cy="2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570108</xdr:colOff>
      <xdr:row>265</xdr:row>
      <xdr:rowOff>73858</xdr:rowOff>
    </xdr:from>
    <xdr:to>
      <xdr:col>12</xdr:col>
      <xdr:colOff>590550</xdr:colOff>
      <xdr:row>267</xdr:row>
      <xdr:rowOff>5967</xdr:rowOff>
    </xdr:to>
    <xdr:sp macro="" textlink="">
      <xdr:nvSpPr>
        <xdr:cNvPr id="312" name="文字方塊 311">
          <a:extLst>
            <a:ext uri="{FF2B5EF4-FFF2-40B4-BE49-F238E27FC236}">
              <a16:creationId xmlns:a16="http://schemas.microsoft.com/office/drawing/2014/main" id="{00000000-0008-0000-0500-000038010000}"/>
            </a:ext>
          </a:extLst>
        </xdr:cNvPr>
        <xdr:cNvSpPr txBox="1"/>
      </xdr:nvSpPr>
      <xdr:spPr>
        <a:xfrm>
          <a:off x="7247133" y="53080483"/>
          <a:ext cx="1454907" cy="3340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zh-TW" altLang="en-US" sz="12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定期回報</a:t>
          </a:r>
          <a:endParaRPr lang="en-US" altLang="zh-TW" sz="1200">
            <a:solidFill>
              <a:srgbClr val="FF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11</xdr:col>
      <xdr:colOff>113167</xdr:colOff>
      <xdr:row>260</xdr:row>
      <xdr:rowOff>114034</xdr:rowOff>
    </xdr:from>
    <xdr:to>
      <xdr:col>11</xdr:col>
      <xdr:colOff>669253</xdr:colOff>
      <xdr:row>265</xdr:row>
      <xdr:rowOff>167874</xdr:rowOff>
    </xdr:to>
    <xdr:sp macro="" textlink="">
      <xdr:nvSpPr>
        <xdr:cNvPr id="313" name="箭號: 弧形右彎 312">
          <a:extLst>
            <a:ext uri="{FF2B5EF4-FFF2-40B4-BE49-F238E27FC236}">
              <a16:creationId xmlns:a16="http://schemas.microsoft.com/office/drawing/2014/main" id="{00000000-0008-0000-0500-000039010000}"/>
            </a:ext>
          </a:extLst>
        </xdr:cNvPr>
        <xdr:cNvSpPr/>
      </xdr:nvSpPr>
      <xdr:spPr>
        <a:xfrm rot="11107716" flipV="1">
          <a:off x="7409317" y="52111009"/>
          <a:ext cx="552276" cy="1067300"/>
        </a:xfrm>
        <a:prstGeom prst="curvedRightArrow">
          <a:avLst>
            <a:gd name="adj1" fmla="val 25000"/>
            <a:gd name="adj2" fmla="val 66472"/>
            <a:gd name="adj3" fmla="val 25000"/>
          </a:avLst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251460</xdr:colOff>
      <xdr:row>280</xdr:row>
      <xdr:rowOff>174399</xdr:rowOff>
    </xdr:from>
    <xdr:to>
      <xdr:col>11</xdr:col>
      <xdr:colOff>19049</xdr:colOff>
      <xdr:row>294</xdr:row>
      <xdr:rowOff>129540</xdr:rowOff>
    </xdr:to>
    <xdr:grpSp>
      <xdr:nvGrpSpPr>
        <xdr:cNvPr id="314" name="群組 313">
          <a:extLst>
            <a:ext uri="{FF2B5EF4-FFF2-40B4-BE49-F238E27FC236}">
              <a16:creationId xmlns:a16="http://schemas.microsoft.com/office/drawing/2014/main" id="{00000000-0008-0000-0500-00003A010000}"/>
            </a:ext>
          </a:extLst>
        </xdr:cNvPr>
        <xdr:cNvGrpSpPr/>
      </xdr:nvGrpSpPr>
      <xdr:grpSpPr>
        <a:xfrm>
          <a:off x="2590800" y="56387139"/>
          <a:ext cx="4728209" cy="2763111"/>
          <a:chOff x="3139440" y="68690998"/>
          <a:chExt cx="5221080" cy="3107911"/>
        </a:xfrm>
      </xdr:grpSpPr>
      <xdr:cxnSp macro="">
        <xdr:nvCxnSpPr>
          <xdr:cNvPr id="315" name="直線接點 314">
            <a:extLst>
              <a:ext uri="{FF2B5EF4-FFF2-40B4-BE49-F238E27FC236}">
                <a16:creationId xmlns:a16="http://schemas.microsoft.com/office/drawing/2014/main" id="{00000000-0008-0000-0500-00003B010000}"/>
              </a:ext>
            </a:extLst>
          </xdr:cNvPr>
          <xdr:cNvCxnSpPr/>
        </xdr:nvCxnSpPr>
        <xdr:spPr>
          <a:xfrm rot="5400000">
            <a:off x="3774472" y="70282403"/>
            <a:ext cx="3031425" cy="1588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6" name="直線接點 315">
            <a:extLst>
              <a:ext uri="{FF2B5EF4-FFF2-40B4-BE49-F238E27FC236}">
                <a16:creationId xmlns:a16="http://schemas.microsoft.com/office/drawing/2014/main" id="{00000000-0008-0000-0500-00003C010000}"/>
              </a:ext>
            </a:extLst>
          </xdr:cNvPr>
          <xdr:cNvCxnSpPr/>
        </xdr:nvCxnSpPr>
        <xdr:spPr>
          <a:xfrm rot="5400000">
            <a:off x="6844807" y="70206711"/>
            <a:ext cx="303142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7" name="直線接點 316">
            <a:extLst>
              <a:ext uri="{FF2B5EF4-FFF2-40B4-BE49-F238E27FC236}">
                <a16:creationId xmlns:a16="http://schemas.microsoft.com/office/drawing/2014/main" id="{00000000-0008-0000-0500-00003D010000}"/>
              </a:ext>
            </a:extLst>
          </xdr:cNvPr>
          <xdr:cNvCxnSpPr/>
        </xdr:nvCxnSpPr>
        <xdr:spPr>
          <a:xfrm rot="5400000">
            <a:off x="1623727" y="70272878"/>
            <a:ext cx="303142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297179</xdr:colOff>
      <xdr:row>285</xdr:row>
      <xdr:rowOff>137159</xdr:rowOff>
    </xdr:from>
    <xdr:to>
      <xdr:col>11</xdr:col>
      <xdr:colOff>7620</xdr:colOff>
      <xdr:row>288</xdr:row>
      <xdr:rowOff>144778</xdr:rowOff>
    </xdr:to>
    <xdr:grpSp>
      <xdr:nvGrpSpPr>
        <xdr:cNvPr id="318" name="群組 317">
          <a:extLst>
            <a:ext uri="{FF2B5EF4-FFF2-40B4-BE49-F238E27FC236}">
              <a16:creationId xmlns:a16="http://schemas.microsoft.com/office/drawing/2014/main" id="{00000000-0008-0000-0500-00003E010000}"/>
            </a:ext>
          </a:extLst>
        </xdr:cNvPr>
        <xdr:cNvGrpSpPr/>
      </xdr:nvGrpSpPr>
      <xdr:grpSpPr>
        <a:xfrm>
          <a:off x="4495799" y="57350024"/>
          <a:ext cx="2809876" cy="609599"/>
          <a:chOff x="1736967" y="904875"/>
          <a:chExt cx="2007707" cy="351088"/>
        </a:xfrm>
      </xdr:grpSpPr>
      <xdr:sp macro="" textlink="">
        <xdr:nvSpPr>
          <xdr:cNvPr id="319" name="文字方塊 318">
            <a:extLst>
              <a:ext uri="{FF2B5EF4-FFF2-40B4-BE49-F238E27FC236}">
                <a16:creationId xmlns:a16="http://schemas.microsoft.com/office/drawing/2014/main" id="{00000000-0008-0000-0500-00003F010000}"/>
              </a:ext>
            </a:extLst>
          </xdr:cNvPr>
          <xdr:cNvSpPr txBox="1"/>
        </xdr:nvSpPr>
        <xdr:spPr>
          <a:xfrm>
            <a:off x="1775659" y="1014719"/>
            <a:ext cx="1838325" cy="24124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r>
              <a:rPr lang="en-US" altLang="zh-TW" sz="1100"/>
              <a:t>CancelTaskRequest()</a:t>
            </a:r>
            <a:br>
              <a:rPr lang="en-US" altLang="zh-TW" sz="1100"/>
            </a:br>
            <a:r>
              <a:rPr lang="zh-TW" altLang="en-US" sz="1100"/>
              <a:t>取消</a:t>
            </a:r>
            <a:r>
              <a:rPr lang="en-US" altLang="zh-TW" sz="1100"/>
              <a:t>AGV</a:t>
            </a:r>
            <a:r>
              <a:rPr lang="zh-TW" altLang="en-US" sz="1100"/>
              <a:t>任務</a:t>
            </a:r>
          </a:p>
        </xdr:txBody>
      </xdr:sp>
      <xdr:cxnSp macro="">
        <xdr:nvCxnSpPr>
          <xdr:cNvPr id="320" name="直線單箭頭接點 319">
            <a:extLst>
              <a:ext uri="{FF2B5EF4-FFF2-40B4-BE49-F238E27FC236}">
                <a16:creationId xmlns:a16="http://schemas.microsoft.com/office/drawing/2014/main" id="{00000000-0008-0000-0500-000040010000}"/>
              </a:ext>
            </a:extLst>
          </xdr:cNvPr>
          <xdr:cNvCxnSpPr/>
        </xdr:nvCxnSpPr>
        <xdr:spPr>
          <a:xfrm>
            <a:off x="1743074" y="904875"/>
            <a:ext cx="2001600" cy="0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1" name="直線單箭頭接點 320">
            <a:extLst>
              <a:ext uri="{FF2B5EF4-FFF2-40B4-BE49-F238E27FC236}">
                <a16:creationId xmlns:a16="http://schemas.microsoft.com/office/drawing/2014/main" id="{00000000-0008-0000-0500-000041010000}"/>
              </a:ext>
            </a:extLst>
          </xdr:cNvPr>
          <xdr:cNvCxnSpPr/>
        </xdr:nvCxnSpPr>
        <xdr:spPr>
          <a:xfrm rot="10800000" flipV="1">
            <a:off x="1736967" y="988691"/>
            <a:ext cx="2000250" cy="2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426720</xdr:colOff>
      <xdr:row>279</xdr:row>
      <xdr:rowOff>68580</xdr:rowOff>
    </xdr:from>
    <xdr:to>
      <xdr:col>16</xdr:col>
      <xdr:colOff>255270</xdr:colOff>
      <xdr:row>281</xdr:row>
      <xdr:rowOff>22860</xdr:rowOff>
    </xdr:to>
    <xdr:grpSp>
      <xdr:nvGrpSpPr>
        <xdr:cNvPr id="322" name="群組 321">
          <a:extLst>
            <a:ext uri="{FF2B5EF4-FFF2-40B4-BE49-F238E27FC236}">
              <a16:creationId xmlns:a16="http://schemas.microsoft.com/office/drawing/2014/main" id="{00000000-0008-0000-0500-000042010000}"/>
            </a:ext>
          </a:extLst>
        </xdr:cNvPr>
        <xdr:cNvGrpSpPr/>
      </xdr:nvGrpSpPr>
      <xdr:grpSpPr>
        <a:xfrm>
          <a:off x="2152650" y="56083200"/>
          <a:ext cx="8692515" cy="352425"/>
          <a:chOff x="2722245" y="403860"/>
          <a:chExt cx="8667750" cy="350520"/>
        </a:xfrm>
      </xdr:grpSpPr>
      <xdr:sp macro="" textlink="">
        <xdr:nvSpPr>
          <xdr:cNvPr id="323" name="矩形 322">
            <a:extLst>
              <a:ext uri="{FF2B5EF4-FFF2-40B4-BE49-F238E27FC236}">
                <a16:creationId xmlns:a16="http://schemas.microsoft.com/office/drawing/2014/main" id="{00000000-0008-0000-0500-000043010000}"/>
              </a:ext>
            </a:extLst>
          </xdr:cNvPr>
          <xdr:cNvSpPr/>
        </xdr:nvSpPr>
        <xdr:spPr>
          <a:xfrm>
            <a:off x="4623789" y="403860"/>
            <a:ext cx="920115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MCS</a:t>
            </a:r>
            <a:endParaRPr lang="zh-TW" altLang="en-US" sz="1100"/>
          </a:p>
        </xdr:txBody>
      </xdr:sp>
      <xdr:sp macro="" textlink="">
        <xdr:nvSpPr>
          <xdr:cNvPr id="324" name="矩形 323">
            <a:extLst>
              <a:ext uri="{FF2B5EF4-FFF2-40B4-BE49-F238E27FC236}">
                <a16:creationId xmlns:a16="http://schemas.microsoft.com/office/drawing/2014/main" id="{00000000-0008-0000-0500-000044010000}"/>
              </a:ext>
            </a:extLst>
          </xdr:cNvPr>
          <xdr:cNvSpPr/>
        </xdr:nvSpPr>
        <xdr:spPr>
          <a:xfrm>
            <a:off x="7355205" y="403860"/>
            <a:ext cx="96012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Lifter</a:t>
            </a:r>
          </a:p>
        </xdr:txBody>
      </xdr:sp>
      <xdr:sp macro="" textlink="">
        <xdr:nvSpPr>
          <xdr:cNvPr id="325" name="矩形 324">
            <a:extLst>
              <a:ext uri="{FF2B5EF4-FFF2-40B4-BE49-F238E27FC236}">
                <a16:creationId xmlns:a16="http://schemas.microsoft.com/office/drawing/2014/main" id="{00000000-0008-0000-0500-000045010000}"/>
              </a:ext>
            </a:extLst>
          </xdr:cNvPr>
          <xdr:cNvSpPr/>
        </xdr:nvSpPr>
        <xdr:spPr>
          <a:xfrm>
            <a:off x="9187815" y="403860"/>
            <a:ext cx="89154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AGVC</a:t>
            </a:r>
            <a:endParaRPr lang="zh-TW" altLang="en-US" sz="1100"/>
          </a:p>
        </xdr:txBody>
      </xdr:sp>
      <xdr:sp macro="" textlink="">
        <xdr:nvSpPr>
          <xdr:cNvPr id="326" name="矩形 325">
            <a:extLst>
              <a:ext uri="{FF2B5EF4-FFF2-40B4-BE49-F238E27FC236}">
                <a16:creationId xmlns:a16="http://schemas.microsoft.com/office/drawing/2014/main" id="{00000000-0008-0000-0500-000046010000}"/>
              </a:ext>
            </a:extLst>
          </xdr:cNvPr>
          <xdr:cNvSpPr/>
        </xdr:nvSpPr>
        <xdr:spPr>
          <a:xfrm>
            <a:off x="10498455" y="403860"/>
            <a:ext cx="89154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ASRS</a:t>
            </a:r>
            <a:endParaRPr lang="zh-TW" altLang="en-US" sz="1100"/>
          </a:p>
        </xdr:txBody>
      </xdr:sp>
      <xdr:sp macro="" textlink="">
        <xdr:nvSpPr>
          <xdr:cNvPr id="327" name="矩形 326">
            <a:extLst>
              <a:ext uri="{FF2B5EF4-FFF2-40B4-BE49-F238E27FC236}">
                <a16:creationId xmlns:a16="http://schemas.microsoft.com/office/drawing/2014/main" id="{00000000-0008-0000-0500-000047010000}"/>
              </a:ext>
            </a:extLst>
          </xdr:cNvPr>
          <xdr:cNvSpPr/>
        </xdr:nvSpPr>
        <xdr:spPr>
          <a:xfrm>
            <a:off x="2722245" y="403860"/>
            <a:ext cx="891540" cy="340995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DCS</a:t>
            </a:r>
            <a:endParaRPr lang="zh-TW" altLang="en-US" sz="1100"/>
          </a:p>
        </xdr:txBody>
      </xdr:sp>
    </xdr:grpSp>
    <xdr:clientData/>
  </xdr:twoCellAnchor>
  <xdr:twoCellAnchor>
    <xdr:from>
      <xdr:col>11</xdr:col>
      <xdr:colOff>106680</xdr:colOff>
      <xdr:row>285</xdr:row>
      <xdr:rowOff>53340</xdr:rowOff>
    </xdr:from>
    <xdr:to>
      <xdr:col>14</xdr:col>
      <xdr:colOff>571500</xdr:colOff>
      <xdr:row>287</xdr:row>
      <xdr:rowOff>114300</xdr:rowOff>
    </xdr:to>
    <xdr:sp macro="" textlink="">
      <xdr:nvSpPr>
        <xdr:cNvPr id="328" name="文字方塊 327">
          <a:extLst>
            <a:ext uri="{FF2B5EF4-FFF2-40B4-BE49-F238E27FC236}">
              <a16:creationId xmlns:a16="http://schemas.microsoft.com/office/drawing/2014/main" id="{00000000-0008-0000-0500-000048010000}"/>
            </a:ext>
          </a:extLst>
        </xdr:cNvPr>
        <xdr:cNvSpPr txBox="1"/>
      </xdr:nvSpPr>
      <xdr:spPr>
        <a:xfrm>
          <a:off x="7383780" y="56288940"/>
          <a:ext cx="2514600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altLang="zh-TW" sz="1100">
              <a:solidFill>
                <a:srgbClr val="FF0000"/>
              </a:solidFill>
            </a:rPr>
            <a:t>LIFTER</a:t>
          </a:r>
          <a:r>
            <a:rPr lang="zh-TW" altLang="en-US" sz="1100">
              <a:solidFill>
                <a:srgbClr val="FF0000"/>
              </a:solidFill>
            </a:rPr>
            <a:t> 檢查進行任務是否可取消</a:t>
          </a:r>
          <a:r>
            <a:rPr lang="en-US" altLang="zh-TW" sz="1100">
              <a:solidFill>
                <a:srgbClr val="FF0000"/>
              </a:solidFill>
            </a:rPr>
            <a:t>,</a:t>
          </a:r>
          <a:r>
            <a:rPr lang="zh-TW" altLang="en-US" sz="1100">
              <a:solidFill>
                <a:srgbClr val="FF0000"/>
              </a:solidFill>
            </a:rPr>
            <a:t>並回傳結果給</a:t>
          </a:r>
          <a:r>
            <a:rPr lang="en-US" altLang="zh-TW" sz="1100">
              <a:solidFill>
                <a:srgbClr val="FF0000"/>
              </a:solidFill>
            </a:rPr>
            <a:t>MCS</a:t>
          </a:r>
          <a:r>
            <a:rPr lang="zh-TW" altLang="en-US" sz="1100">
              <a:solidFill>
                <a:srgbClr val="FF0000"/>
              </a:solidFill>
            </a:rPr>
            <a:t>。</a:t>
          </a:r>
        </a:p>
      </xdr:txBody>
    </xdr:sp>
    <xdr:clientData/>
  </xdr:twoCellAnchor>
  <xdr:twoCellAnchor>
    <xdr:from>
      <xdr:col>6</xdr:col>
      <xdr:colOff>327659</xdr:colOff>
      <xdr:row>290</xdr:row>
      <xdr:rowOff>91552</xdr:rowOff>
    </xdr:from>
    <xdr:to>
      <xdr:col>10</xdr:col>
      <xdr:colOff>556260</xdr:colOff>
      <xdr:row>293</xdr:row>
      <xdr:rowOff>2447</xdr:rowOff>
    </xdr:to>
    <xdr:grpSp>
      <xdr:nvGrpSpPr>
        <xdr:cNvPr id="329" name="群組 328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4524374" y="58312162"/>
          <a:ext cx="2705101" cy="507160"/>
          <a:chOff x="5734050" y="9029700"/>
          <a:chExt cx="2001600" cy="512986"/>
        </a:xfrm>
      </xdr:grpSpPr>
      <xdr:sp macro="" textlink="">
        <xdr:nvSpPr>
          <xdr:cNvPr id="330" name="文字方塊 329">
            <a:extLst>
              <a:ext uri="{FF2B5EF4-FFF2-40B4-BE49-F238E27FC236}">
                <a16:creationId xmlns:a16="http://schemas.microsoft.com/office/drawing/2014/main" id="{00000000-0008-0000-0500-00004A010000}"/>
              </a:ext>
            </a:extLst>
          </xdr:cNvPr>
          <xdr:cNvSpPr txBox="1"/>
        </xdr:nvSpPr>
        <xdr:spPr>
          <a:xfrm>
            <a:off x="5777808" y="9105900"/>
            <a:ext cx="1838325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algn="r"/>
            <a:r>
              <a:rPr lang="en-US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LifterMoveTaskReport</a:t>
            </a:r>
            <a:r>
              <a:rPr lang="en-US" altLang="zh-TW" sz="1100"/>
              <a:t>()</a:t>
            </a:r>
            <a:br>
              <a:rPr lang="en-US" altLang="zh-TW" sz="1100"/>
            </a:br>
            <a:r>
              <a:rPr lang="zh-TW" altLang="zh-TW" sz="11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任務</a:t>
            </a:r>
            <a:r>
              <a:rPr lang="zh-TW" altLang="zh-TW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狀態回報</a:t>
            </a:r>
            <a:r>
              <a:rPr lang="en-US" altLang="zh-TW" sz="1100"/>
              <a:t>"CAEN"</a:t>
            </a:r>
            <a:r>
              <a:rPr lang="en-US" altLang="zh-TW" sz="1100" baseline="0"/>
              <a:t> </a:t>
            </a:r>
            <a:endParaRPr lang="zh-TW" altLang="en-US" sz="1100"/>
          </a:p>
        </xdr:txBody>
      </xdr:sp>
      <xdr:cxnSp macro="">
        <xdr:nvCxnSpPr>
          <xdr:cNvPr id="331" name="直線單箭頭接點 330">
            <a:extLst>
              <a:ext uri="{FF2B5EF4-FFF2-40B4-BE49-F238E27FC236}">
                <a16:creationId xmlns:a16="http://schemas.microsoft.com/office/drawing/2014/main" id="{00000000-0008-0000-0500-00004B010000}"/>
              </a:ext>
            </a:extLst>
          </xdr:cNvPr>
          <xdr:cNvCxnSpPr/>
        </xdr:nvCxnSpPr>
        <xdr:spPr>
          <a:xfrm>
            <a:off x="5734050" y="9029700"/>
            <a:ext cx="2001600" cy="0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2" name="直線單箭頭接點 331">
            <a:extLst>
              <a:ext uri="{FF2B5EF4-FFF2-40B4-BE49-F238E27FC236}">
                <a16:creationId xmlns:a16="http://schemas.microsoft.com/office/drawing/2014/main" id="{00000000-0008-0000-0500-00004C010000}"/>
              </a:ext>
            </a:extLst>
          </xdr:cNvPr>
          <xdr:cNvCxnSpPr/>
        </xdr:nvCxnSpPr>
        <xdr:spPr>
          <a:xfrm rot="10800000" flipV="1">
            <a:off x="5734051" y="9115425"/>
            <a:ext cx="2000250" cy="2"/>
          </a:xfrm>
          <a:prstGeom prst="straightConnector1">
            <a:avLst/>
          </a:prstGeom>
          <a:ln w="15875"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251460</xdr:colOff>
      <xdr:row>301</xdr:row>
      <xdr:rowOff>34291</xdr:rowOff>
    </xdr:from>
    <xdr:to>
      <xdr:col>11</xdr:col>
      <xdr:colOff>11430</xdr:colOff>
      <xdr:row>310</xdr:row>
      <xdr:rowOff>68580</xdr:rowOff>
    </xdr:to>
    <xdr:grpSp>
      <xdr:nvGrpSpPr>
        <xdr:cNvPr id="333" name="群組 332">
          <a:extLst>
            <a:ext uri="{FF2B5EF4-FFF2-40B4-BE49-F238E27FC236}">
              <a16:creationId xmlns:a16="http://schemas.microsoft.com/office/drawing/2014/main" id="{00000000-0008-0000-0500-00004D010000}"/>
            </a:ext>
          </a:extLst>
        </xdr:cNvPr>
        <xdr:cNvGrpSpPr/>
      </xdr:nvGrpSpPr>
      <xdr:grpSpPr>
        <a:xfrm>
          <a:off x="2590800" y="60460891"/>
          <a:ext cx="4720590" cy="1832609"/>
          <a:chOff x="2590800" y="59447431"/>
          <a:chExt cx="4697730" cy="3055078"/>
        </a:xfrm>
      </xdr:grpSpPr>
      <xdr:cxnSp macro="">
        <xdr:nvCxnSpPr>
          <xdr:cNvPr id="334" name="直線接點 333">
            <a:extLst>
              <a:ext uri="{FF2B5EF4-FFF2-40B4-BE49-F238E27FC236}">
                <a16:creationId xmlns:a16="http://schemas.microsoft.com/office/drawing/2014/main" id="{00000000-0008-0000-0500-00004E010000}"/>
              </a:ext>
            </a:extLst>
          </xdr:cNvPr>
          <xdr:cNvCxnSpPr/>
        </xdr:nvCxnSpPr>
        <xdr:spPr>
          <a:xfrm rot="5400000">
            <a:off x="2677192" y="60986003"/>
            <a:ext cx="3031425" cy="1588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5" name="直線接點 334">
            <a:extLst>
              <a:ext uri="{FF2B5EF4-FFF2-40B4-BE49-F238E27FC236}">
                <a16:creationId xmlns:a16="http://schemas.microsoft.com/office/drawing/2014/main" id="{00000000-0008-0000-0500-00004F010000}"/>
              </a:ext>
            </a:extLst>
          </xdr:cNvPr>
          <xdr:cNvCxnSpPr/>
        </xdr:nvCxnSpPr>
        <xdr:spPr>
          <a:xfrm rot="5400000">
            <a:off x="5772817" y="60963144"/>
            <a:ext cx="303142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6" name="直線接點 335">
            <a:extLst>
              <a:ext uri="{FF2B5EF4-FFF2-40B4-BE49-F238E27FC236}">
                <a16:creationId xmlns:a16="http://schemas.microsoft.com/office/drawing/2014/main" id="{00000000-0008-0000-0500-000050010000}"/>
              </a:ext>
            </a:extLst>
          </xdr:cNvPr>
          <xdr:cNvCxnSpPr/>
        </xdr:nvCxnSpPr>
        <xdr:spPr>
          <a:xfrm rot="5400000">
            <a:off x="1075087" y="60976478"/>
            <a:ext cx="3031425" cy="0"/>
          </a:xfrm>
          <a:prstGeom prst="line">
            <a:avLst/>
          </a:prstGeom>
          <a:ln w="158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304</xdr:row>
      <xdr:rowOff>190499</xdr:rowOff>
    </xdr:from>
    <xdr:to>
      <xdr:col>11</xdr:col>
      <xdr:colOff>7620</xdr:colOff>
      <xdr:row>307</xdr:row>
      <xdr:rowOff>198118</xdr:rowOff>
    </xdr:to>
    <xdr:grpSp>
      <xdr:nvGrpSpPr>
        <xdr:cNvPr id="337" name="群組 336">
          <a:extLst>
            <a:ext uri="{FF2B5EF4-FFF2-40B4-BE49-F238E27FC236}">
              <a16:creationId xmlns:a16="http://schemas.microsoft.com/office/drawing/2014/main" id="{00000000-0008-0000-0500-000051010000}"/>
            </a:ext>
          </a:extLst>
        </xdr:cNvPr>
        <xdr:cNvGrpSpPr/>
      </xdr:nvGrpSpPr>
      <xdr:grpSpPr>
        <a:xfrm flipH="1">
          <a:off x="4200525" y="61217174"/>
          <a:ext cx="3105150" cy="609599"/>
          <a:chOff x="1736967" y="904875"/>
          <a:chExt cx="2007707" cy="351088"/>
        </a:xfrm>
      </xdr:grpSpPr>
      <xdr:sp macro="" textlink="">
        <xdr:nvSpPr>
          <xdr:cNvPr id="338" name="文字方塊 337">
            <a:extLst>
              <a:ext uri="{FF2B5EF4-FFF2-40B4-BE49-F238E27FC236}">
                <a16:creationId xmlns:a16="http://schemas.microsoft.com/office/drawing/2014/main" id="{00000000-0008-0000-0500-000052010000}"/>
              </a:ext>
            </a:extLst>
          </xdr:cNvPr>
          <xdr:cNvSpPr txBox="1"/>
        </xdr:nvSpPr>
        <xdr:spPr>
          <a:xfrm>
            <a:off x="1775659" y="1014719"/>
            <a:ext cx="1838325" cy="24124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algn="r"/>
            <a:r>
              <a:rPr lang="en-US" altLang="zh-TW" sz="1100"/>
              <a:t>CancelTaskReport()</a:t>
            </a:r>
            <a:br>
              <a:rPr lang="en-US" altLang="zh-TW" sz="1100"/>
            </a:br>
            <a:r>
              <a:rPr lang="en-US" altLang="zh-TW" sz="1100" b="0" i="0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Lifter</a:t>
            </a:r>
            <a:r>
              <a:rPr lang="zh-TW" altLang="en-US" sz="1100" b="0" i="0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主動取消任務</a:t>
            </a:r>
            <a:r>
              <a:rPr lang="zh-TW" altLang="en-US"/>
              <a:t> </a:t>
            </a:r>
            <a:endParaRPr lang="zh-TW" altLang="en-US" sz="1100"/>
          </a:p>
        </xdr:txBody>
      </xdr:sp>
      <xdr:cxnSp macro="">
        <xdr:nvCxnSpPr>
          <xdr:cNvPr id="339" name="直線單箭頭接點 338">
            <a:extLst>
              <a:ext uri="{FF2B5EF4-FFF2-40B4-BE49-F238E27FC236}">
                <a16:creationId xmlns:a16="http://schemas.microsoft.com/office/drawing/2014/main" id="{00000000-0008-0000-0500-000053010000}"/>
              </a:ext>
            </a:extLst>
          </xdr:cNvPr>
          <xdr:cNvCxnSpPr/>
        </xdr:nvCxnSpPr>
        <xdr:spPr>
          <a:xfrm>
            <a:off x="1743074" y="904875"/>
            <a:ext cx="2001600" cy="0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0" name="直線單箭頭接點 339">
            <a:extLst>
              <a:ext uri="{FF2B5EF4-FFF2-40B4-BE49-F238E27FC236}">
                <a16:creationId xmlns:a16="http://schemas.microsoft.com/office/drawing/2014/main" id="{00000000-0008-0000-0500-000054010000}"/>
              </a:ext>
            </a:extLst>
          </xdr:cNvPr>
          <xdr:cNvCxnSpPr/>
        </xdr:nvCxnSpPr>
        <xdr:spPr>
          <a:xfrm rot="10800000" flipV="1">
            <a:off x="1736967" y="988691"/>
            <a:ext cx="2000250" cy="2"/>
          </a:xfrm>
          <a:prstGeom prst="straightConnector1">
            <a:avLst/>
          </a:prstGeom>
          <a:ln w="158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426720</xdr:colOff>
      <xdr:row>299</xdr:row>
      <xdr:rowOff>68580</xdr:rowOff>
    </xdr:from>
    <xdr:to>
      <xdr:col>16</xdr:col>
      <xdr:colOff>255270</xdr:colOff>
      <xdr:row>301</xdr:row>
      <xdr:rowOff>22860</xdr:rowOff>
    </xdr:to>
    <xdr:grpSp>
      <xdr:nvGrpSpPr>
        <xdr:cNvPr id="341" name="群組 340">
          <a:extLst>
            <a:ext uri="{FF2B5EF4-FFF2-40B4-BE49-F238E27FC236}">
              <a16:creationId xmlns:a16="http://schemas.microsoft.com/office/drawing/2014/main" id="{00000000-0008-0000-0500-000055010000}"/>
            </a:ext>
          </a:extLst>
        </xdr:cNvPr>
        <xdr:cNvGrpSpPr/>
      </xdr:nvGrpSpPr>
      <xdr:grpSpPr>
        <a:xfrm>
          <a:off x="2152650" y="60093225"/>
          <a:ext cx="8692515" cy="352425"/>
          <a:chOff x="2722245" y="403860"/>
          <a:chExt cx="8667750" cy="350520"/>
        </a:xfrm>
      </xdr:grpSpPr>
      <xdr:sp macro="" textlink="">
        <xdr:nvSpPr>
          <xdr:cNvPr id="342" name="矩形 341">
            <a:extLst>
              <a:ext uri="{FF2B5EF4-FFF2-40B4-BE49-F238E27FC236}">
                <a16:creationId xmlns:a16="http://schemas.microsoft.com/office/drawing/2014/main" id="{00000000-0008-0000-0500-000056010000}"/>
              </a:ext>
            </a:extLst>
          </xdr:cNvPr>
          <xdr:cNvSpPr/>
        </xdr:nvSpPr>
        <xdr:spPr>
          <a:xfrm>
            <a:off x="4623790" y="403860"/>
            <a:ext cx="920115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MCS</a:t>
            </a:r>
            <a:endParaRPr lang="zh-TW" altLang="en-US" sz="1100"/>
          </a:p>
        </xdr:txBody>
      </xdr:sp>
      <xdr:sp macro="" textlink="">
        <xdr:nvSpPr>
          <xdr:cNvPr id="343" name="矩形 342">
            <a:extLst>
              <a:ext uri="{FF2B5EF4-FFF2-40B4-BE49-F238E27FC236}">
                <a16:creationId xmlns:a16="http://schemas.microsoft.com/office/drawing/2014/main" id="{00000000-0008-0000-0500-000057010000}"/>
              </a:ext>
            </a:extLst>
          </xdr:cNvPr>
          <xdr:cNvSpPr/>
        </xdr:nvSpPr>
        <xdr:spPr>
          <a:xfrm>
            <a:off x="7355205" y="403860"/>
            <a:ext cx="96012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Lifter</a:t>
            </a:r>
          </a:p>
        </xdr:txBody>
      </xdr:sp>
      <xdr:sp macro="" textlink="">
        <xdr:nvSpPr>
          <xdr:cNvPr id="344" name="矩形 343">
            <a:extLst>
              <a:ext uri="{FF2B5EF4-FFF2-40B4-BE49-F238E27FC236}">
                <a16:creationId xmlns:a16="http://schemas.microsoft.com/office/drawing/2014/main" id="{00000000-0008-0000-0500-000058010000}"/>
              </a:ext>
            </a:extLst>
          </xdr:cNvPr>
          <xdr:cNvSpPr/>
        </xdr:nvSpPr>
        <xdr:spPr>
          <a:xfrm>
            <a:off x="9187815" y="403860"/>
            <a:ext cx="89154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AGVC</a:t>
            </a:r>
            <a:endParaRPr lang="zh-TW" altLang="en-US" sz="1100"/>
          </a:p>
        </xdr:txBody>
      </xdr:sp>
      <xdr:sp macro="" textlink="">
        <xdr:nvSpPr>
          <xdr:cNvPr id="345" name="矩形 344">
            <a:extLst>
              <a:ext uri="{FF2B5EF4-FFF2-40B4-BE49-F238E27FC236}">
                <a16:creationId xmlns:a16="http://schemas.microsoft.com/office/drawing/2014/main" id="{00000000-0008-0000-0500-000059010000}"/>
              </a:ext>
            </a:extLst>
          </xdr:cNvPr>
          <xdr:cNvSpPr/>
        </xdr:nvSpPr>
        <xdr:spPr>
          <a:xfrm>
            <a:off x="10498455" y="403860"/>
            <a:ext cx="891540" cy="350520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ASRS</a:t>
            </a:r>
            <a:endParaRPr lang="zh-TW" altLang="en-US" sz="1100"/>
          </a:p>
        </xdr:txBody>
      </xdr:sp>
      <xdr:sp macro="" textlink="">
        <xdr:nvSpPr>
          <xdr:cNvPr id="346" name="矩形 345">
            <a:extLst>
              <a:ext uri="{FF2B5EF4-FFF2-40B4-BE49-F238E27FC236}">
                <a16:creationId xmlns:a16="http://schemas.microsoft.com/office/drawing/2014/main" id="{00000000-0008-0000-0500-00005A010000}"/>
              </a:ext>
            </a:extLst>
          </xdr:cNvPr>
          <xdr:cNvSpPr/>
        </xdr:nvSpPr>
        <xdr:spPr>
          <a:xfrm>
            <a:off x="2722245" y="403860"/>
            <a:ext cx="891540" cy="340995"/>
          </a:xfrm>
          <a:prstGeom prst="rect">
            <a:avLst/>
          </a:prstGeom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altLang="zh-TW" sz="1100"/>
              <a:t>DCS</a:t>
            </a:r>
            <a:endParaRPr lang="zh-TW" altLang="en-US" sz="1100"/>
          </a:p>
        </xdr:txBody>
      </xdr:sp>
    </xdr:grpSp>
    <xdr:clientData/>
  </xdr:twoCellAnchor>
  <xdr:twoCellAnchor>
    <xdr:from>
      <xdr:col>11</xdr:col>
      <xdr:colOff>53340</xdr:colOff>
      <xdr:row>304</xdr:row>
      <xdr:rowOff>129540</xdr:rowOff>
    </xdr:from>
    <xdr:to>
      <xdr:col>14</xdr:col>
      <xdr:colOff>106680</xdr:colOff>
      <xdr:row>306</xdr:row>
      <xdr:rowOff>190500</xdr:rowOff>
    </xdr:to>
    <xdr:sp macro="" textlink="">
      <xdr:nvSpPr>
        <xdr:cNvPr id="347" name="文字方塊 346">
          <a:extLst>
            <a:ext uri="{FF2B5EF4-FFF2-40B4-BE49-F238E27FC236}">
              <a16:creationId xmlns:a16="http://schemas.microsoft.com/office/drawing/2014/main" id="{00000000-0008-0000-0500-00005B010000}"/>
            </a:ext>
          </a:extLst>
        </xdr:cNvPr>
        <xdr:cNvSpPr txBox="1"/>
      </xdr:nvSpPr>
      <xdr:spPr>
        <a:xfrm>
          <a:off x="7330440" y="60137040"/>
          <a:ext cx="2103120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zh-TW" altLang="en-US" sz="1100">
              <a:solidFill>
                <a:srgbClr val="FF0000"/>
              </a:solidFill>
            </a:rPr>
            <a:t>進行任務取消並上報</a:t>
          </a:r>
          <a:r>
            <a:rPr lang="en-US" altLang="zh-TW" sz="1100">
              <a:solidFill>
                <a:srgbClr val="FF0000"/>
              </a:solidFill>
            </a:rPr>
            <a:t>MCS</a:t>
          </a:r>
          <a:r>
            <a:rPr lang="zh-TW" altLang="en-US" sz="1100">
              <a:solidFill>
                <a:srgbClr val="FF0000"/>
              </a:solidFill>
            </a:rPr>
            <a:t>。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81801</xdr:colOff>
      <xdr:row>0</xdr:row>
      <xdr:rowOff>108472</xdr:rowOff>
    </xdr:from>
    <xdr:to>
      <xdr:col>1</xdr:col>
      <xdr:colOff>1171797</xdr:colOff>
      <xdr:row>2</xdr:row>
      <xdr:rowOff>89422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21" y="108472"/>
          <a:ext cx="1089996" cy="392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515471</xdr:colOff>
          <xdr:row>26</xdr:row>
          <xdr:rowOff>179294</xdr:rowOff>
        </xdr:from>
        <xdr:to>
          <xdr:col>3</xdr:col>
          <xdr:colOff>350745</xdr:colOff>
          <xdr:row>26</xdr:row>
          <xdr:rowOff>693644</xdr:rowOff>
        </xdr:to>
        <xdr:sp macro="" textlink="">
          <xdr:nvSpPr>
            <xdr:cNvPr id="50188" name="Object 12" hidden="1">
              <a:extLst>
                <a:ext uri="{63B3BB69-23CF-44E3-9099-C40C66FF867C}">
                  <a14:compatExt spid="_x0000_s50188"/>
                </a:ext>
                <a:ext uri="{FF2B5EF4-FFF2-40B4-BE49-F238E27FC236}">
                  <a16:creationId xmlns:a16="http://schemas.microsoft.com/office/drawing/2014/main" id="{C6D91DBD-7779-455D-AB28-A5B5827095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481854</xdr:colOff>
          <xdr:row>26</xdr:row>
          <xdr:rowOff>190500</xdr:rowOff>
        </xdr:from>
        <xdr:to>
          <xdr:col>4</xdr:col>
          <xdr:colOff>893109</xdr:colOff>
          <xdr:row>26</xdr:row>
          <xdr:rowOff>704850</xdr:rowOff>
        </xdr:to>
        <xdr:sp macro="" textlink="">
          <xdr:nvSpPr>
            <xdr:cNvPr id="50189" name="Object 13" hidden="1">
              <a:extLst>
                <a:ext uri="{63B3BB69-23CF-44E3-9099-C40C66FF867C}">
                  <a14:compatExt spid="_x0000_s50189"/>
                </a:ext>
                <a:ext uri="{FF2B5EF4-FFF2-40B4-BE49-F238E27FC236}">
                  <a16:creationId xmlns:a16="http://schemas.microsoft.com/office/drawing/2014/main" id="{1FDBAE16-AD46-44DE-9B6E-C4F7823E95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81801</xdr:colOff>
      <xdr:row>0</xdr:row>
      <xdr:rowOff>108472</xdr:rowOff>
    </xdr:from>
    <xdr:to>
      <xdr:col>1</xdr:col>
      <xdr:colOff>1171797</xdr:colOff>
      <xdr:row>2</xdr:row>
      <xdr:rowOff>89422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25" y="108472"/>
          <a:ext cx="1089996" cy="406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338667</xdr:colOff>
          <xdr:row>25</xdr:row>
          <xdr:rowOff>148166</xdr:rowOff>
        </xdr:from>
        <xdr:to>
          <xdr:col>3</xdr:col>
          <xdr:colOff>738717</xdr:colOff>
          <xdr:row>25</xdr:row>
          <xdr:rowOff>662516</xdr:rowOff>
        </xdr:to>
        <xdr:sp macro="" textlink="">
          <xdr:nvSpPr>
            <xdr:cNvPr id="53253" name="Object 5" hidden="1">
              <a:extLst>
                <a:ext uri="{63B3BB69-23CF-44E3-9099-C40C66FF867C}">
                  <a14:compatExt spid="_x0000_s53253"/>
                </a:ext>
                <a:ext uri="{FF2B5EF4-FFF2-40B4-BE49-F238E27FC236}">
                  <a16:creationId xmlns:a16="http://schemas.microsoft.com/office/drawing/2014/main" id="{09881963-5829-4A69-BFA7-A1C9716A90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867833</xdr:colOff>
          <xdr:row>25</xdr:row>
          <xdr:rowOff>158750</xdr:rowOff>
        </xdr:from>
        <xdr:to>
          <xdr:col>5</xdr:col>
          <xdr:colOff>783167</xdr:colOff>
          <xdr:row>25</xdr:row>
          <xdr:rowOff>673100</xdr:rowOff>
        </xdr:to>
        <xdr:sp macro="" textlink="">
          <xdr:nvSpPr>
            <xdr:cNvPr id="53254" name="Object 6" hidden="1">
              <a:extLst>
                <a:ext uri="{63B3BB69-23CF-44E3-9099-C40C66FF867C}">
                  <a14:compatExt spid="_x0000_s53254"/>
                </a:ext>
                <a:ext uri="{FF2B5EF4-FFF2-40B4-BE49-F238E27FC236}">
                  <a16:creationId xmlns:a16="http://schemas.microsoft.com/office/drawing/2014/main" id="{ECB0C128-3345-447E-BAC6-3C137431EE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81801</xdr:colOff>
      <xdr:row>0</xdr:row>
      <xdr:rowOff>108472</xdr:rowOff>
    </xdr:from>
    <xdr:to>
      <xdr:col>1</xdr:col>
      <xdr:colOff>1171797</xdr:colOff>
      <xdr:row>2</xdr:row>
      <xdr:rowOff>89422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831" y="106567"/>
          <a:ext cx="1086186" cy="405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504264</xdr:colOff>
          <xdr:row>26</xdr:row>
          <xdr:rowOff>145676</xdr:rowOff>
        </xdr:from>
        <xdr:to>
          <xdr:col>3</xdr:col>
          <xdr:colOff>504264</xdr:colOff>
          <xdr:row>26</xdr:row>
          <xdr:rowOff>660026</xdr:rowOff>
        </xdr:to>
        <xdr:sp macro="" textlink="">
          <xdr:nvSpPr>
            <xdr:cNvPr id="51209" name="Object 9" hidden="1">
              <a:extLst>
                <a:ext uri="{63B3BB69-23CF-44E3-9099-C40C66FF867C}">
                  <a14:compatExt spid="_x0000_s51209"/>
                </a:ext>
                <a:ext uri="{FF2B5EF4-FFF2-40B4-BE49-F238E27FC236}">
                  <a16:creationId xmlns:a16="http://schemas.microsoft.com/office/drawing/2014/main" id="{F1E9219D-A5D8-45A7-915B-6F4DDD1EB8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616323</xdr:colOff>
          <xdr:row>26</xdr:row>
          <xdr:rowOff>156882</xdr:rowOff>
        </xdr:from>
        <xdr:to>
          <xdr:col>5</xdr:col>
          <xdr:colOff>136152</xdr:colOff>
          <xdr:row>26</xdr:row>
          <xdr:rowOff>671232</xdr:rowOff>
        </xdr:to>
        <xdr:sp macro="" textlink="">
          <xdr:nvSpPr>
            <xdr:cNvPr id="51210" name="Object 10" hidden="1">
              <a:extLst>
                <a:ext uri="{63B3BB69-23CF-44E3-9099-C40C66FF867C}">
                  <a14:compatExt spid="_x0000_s51210"/>
                </a:ext>
                <a:ext uri="{FF2B5EF4-FFF2-40B4-BE49-F238E27FC236}">
                  <a16:creationId xmlns:a16="http://schemas.microsoft.com/office/drawing/2014/main" id="{DCA9D5B3-E3D4-45A9-A352-0395620BF7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81801</xdr:colOff>
      <xdr:row>0</xdr:row>
      <xdr:rowOff>108472</xdr:rowOff>
    </xdr:from>
    <xdr:to>
      <xdr:col>1</xdr:col>
      <xdr:colOff>1171797</xdr:colOff>
      <xdr:row>2</xdr:row>
      <xdr:rowOff>89422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831" y="106567"/>
          <a:ext cx="1086186" cy="405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571500</xdr:colOff>
          <xdr:row>33</xdr:row>
          <xdr:rowOff>179295</xdr:rowOff>
        </xdr:from>
        <xdr:to>
          <xdr:col>3</xdr:col>
          <xdr:colOff>322729</xdr:colOff>
          <xdr:row>33</xdr:row>
          <xdr:rowOff>693645</xdr:rowOff>
        </xdr:to>
        <xdr:sp macro="" textlink="">
          <xdr:nvSpPr>
            <xdr:cNvPr id="52235" name="Object 11" hidden="1">
              <a:extLst>
                <a:ext uri="{63B3BB69-23CF-44E3-9099-C40C66FF867C}">
                  <a14:compatExt spid="_x0000_s52235"/>
                </a:ext>
                <a:ext uri="{FF2B5EF4-FFF2-40B4-BE49-F238E27FC236}">
                  <a16:creationId xmlns:a16="http://schemas.microsoft.com/office/drawing/2014/main" id="{87128529-5F99-44AB-8CE2-AD7B12B6F2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526676</xdr:colOff>
          <xdr:row>33</xdr:row>
          <xdr:rowOff>168088</xdr:rowOff>
        </xdr:from>
        <xdr:to>
          <xdr:col>4</xdr:col>
          <xdr:colOff>887506</xdr:colOff>
          <xdr:row>33</xdr:row>
          <xdr:rowOff>682438</xdr:rowOff>
        </xdr:to>
        <xdr:sp macro="" textlink="">
          <xdr:nvSpPr>
            <xdr:cNvPr id="52236" name="Object 12" hidden="1">
              <a:extLst>
                <a:ext uri="{63B3BB69-23CF-44E3-9099-C40C66FF867C}">
                  <a14:compatExt spid="_x0000_s52236"/>
                </a:ext>
                <a:ext uri="{FF2B5EF4-FFF2-40B4-BE49-F238E27FC236}">
                  <a16:creationId xmlns:a16="http://schemas.microsoft.com/office/drawing/2014/main" id="{E282E78B-629F-4D48-94F7-D53A513095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81801</xdr:colOff>
      <xdr:row>0</xdr:row>
      <xdr:rowOff>108472</xdr:rowOff>
    </xdr:from>
    <xdr:to>
      <xdr:col>1</xdr:col>
      <xdr:colOff>1171797</xdr:colOff>
      <xdr:row>2</xdr:row>
      <xdr:rowOff>89422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831" y="106567"/>
          <a:ext cx="1086186" cy="405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0</xdr:colOff>
      <xdr:row>47</xdr:row>
      <xdr:rowOff>152400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9977645" y="197140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0</xdr:colOff>
      <xdr:row>47</xdr:row>
      <xdr:rowOff>152400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5905500" y="12429067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402167</xdr:colOff>
          <xdr:row>46</xdr:row>
          <xdr:rowOff>116417</xdr:rowOff>
        </xdr:from>
        <xdr:to>
          <xdr:col>3</xdr:col>
          <xdr:colOff>811742</xdr:colOff>
          <xdr:row>46</xdr:row>
          <xdr:rowOff>630767</xdr:rowOff>
        </xdr:to>
        <xdr:sp macro="" textlink="">
          <xdr:nvSpPr>
            <xdr:cNvPr id="55304" name="Object 8" hidden="1">
              <a:extLst>
                <a:ext uri="{63B3BB69-23CF-44E3-9099-C40C66FF867C}">
                  <a14:compatExt spid="_x0000_s55304"/>
                </a:ext>
                <a:ext uri="{FF2B5EF4-FFF2-40B4-BE49-F238E27FC236}">
                  <a16:creationId xmlns:a16="http://schemas.microsoft.com/office/drawing/2014/main" id="{417A5461-4B49-4E31-B90B-E090178C64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10583</xdr:colOff>
          <xdr:row>46</xdr:row>
          <xdr:rowOff>105833</xdr:rowOff>
        </xdr:from>
        <xdr:to>
          <xdr:col>6</xdr:col>
          <xdr:colOff>304800</xdr:colOff>
          <xdr:row>46</xdr:row>
          <xdr:rowOff>620183</xdr:rowOff>
        </xdr:to>
        <xdr:sp macro="" textlink="">
          <xdr:nvSpPr>
            <xdr:cNvPr id="55305" name="Object 9" hidden="1">
              <a:extLst>
                <a:ext uri="{63B3BB69-23CF-44E3-9099-C40C66FF867C}">
                  <a14:compatExt spid="_x0000_s55305"/>
                </a:ext>
                <a:ext uri="{FF2B5EF4-FFF2-40B4-BE49-F238E27FC236}">
                  <a16:creationId xmlns:a16="http://schemas.microsoft.com/office/drawing/2014/main" id="{67408BD7-3797-4344-9C87-70E05DE880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81801</xdr:colOff>
      <xdr:row>0</xdr:row>
      <xdr:rowOff>108472</xdr:rowOff>
    </xdr:from>
    <xdr:to>
      <xdr:col>1</xdr:col>
      <xdr:colOff>1171797</xdr:colOff>
      <xdr:row>2</xdr:row>
      <xdr:rowOff>89422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21" y="108472"/>
          <a:ext cx="1089996" cy="392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412750</xdr:colOff>
          <xdr:row>29</xdr:row>
          <xdr:rowOff>190500</xdr:rowOff>
        </xdr:from>
        <xdr:to>
          <xdr:col>4</xdr:col>
          <xdr:colOff>382058</xdr:colOff>
          <xdr:row>29</xdr:row>
          <xdr:rowOff>704850</xdr:rowOff>
        </xdr:to>
        <xdr:sp macro="" textlink="">
          <xdr:nvSpPr>
            <xdr:cNvPr id="56325" name="Object 5" hidden="1">
              <a:extLst>
                <a:ext uri="{63B3BB69-23CF-44E3-9099-C40C66FF867C}">
                  <a14:compatExt spid="_x0000_s56325"/>
                </a:ext>
                <a:ext uri="{FF2B5EF4-FFF2-40B4-BE49-F238E27FC236}">
                  <a16:creationId xmlns:a16="http://schemas.microsoft.com/office/drawing/2014/main" id="{A5E8C37E-06D9-41B4-91E4-95581790F5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529166</xdr:colOff>
          <xdr:row>29</xdr:row>
          <xdr:rowOff>190500</xdr:rowOff>
        </xdr:from>
        <xdr:to>
          <xdr:col>7</xdr:col>
          <xdr:colOff>67734</xdr:colOff>
          <xdr:row>29</xdr:row>
          <xdr:rowOff>704850</xdr:rowOff>
        </xdr:to>
        <xdr:sp macro="" textlink="">
          <xdr:nvSpPr>
            <xdr:cNvPr id="56326" name="Object 6" hidden="1">
              <a:extLst>
                <a:ext uri="{63B3BB69-23CF-44E3-9099-C40C66FF867C}">
                  <a14:compatExt spid="_x0000_s56326"/>
                </a:ext>
                <a:ext uri="{FF2B5EF4-FFF2-40B4-BE49-F238E27FC236}">
                  <a16:creationId xmlns:a16="http://schemas.microsoft.com/office/drawing/2014/main" id="{A47E42B3-2E7A-4EED-B24C-4F2142E5B3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81801</xdr:colOff>
      <xdr:row>0</xdr:row>
      <xdr:rowOff>108472</xdr:rowOff>
    </xdr:from>
    <xdr:to>
      <xdr:col>1</xdr:col>
      <xdr:colOff>1171797</xdr:colOff>
      <xdr:row>2</xdr:row>
      <xdr:rowOff>89422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21" y="108472"/>
          <a:ext cx="1089996" cy="392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29</xdr:row>
          <xdr:rowOff>105833</xdr:rowOff>
        </xdr:from>
        <xdr:to>
          <xdr:col>3</xdr:col>
          <xdr:colOff>638175</xdr:colOff>
          <xdr:row>29</xdr:row>
          <xdr:rowOff>620183</xdr:rowOff>
        </xdr:to>
        <xdr:sp macro="" textlink="">
          <xdr:nvSpPr>
            <xdr:cNvPr id="57349" name="Object 5" hidden="1">
              <a:extLst>
                <a:ext uri="{63B3BB69-23CF-44E3-9099-C40C66FF867C}">
                  <a14:compatExt spid="_x0000_s57349"/>
                </a:ext>
                <a:ext uri="{FF2B5EF4-FFF2-40B4-BE49-F238E27FC236}">
                  <a16:creationId xmlns:a16="http://schemas.microsoft.com/office/drawing/2014/main" id="{E6A935FE-A6DB-4762-888C-0AB8C09B26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29</xdr:row>
          <xdr:rowOff>105833</xdr:rowOff>
        </xdr:from>
        <xdr:to>
          <xdr:col>6</xdr:col>
          <xdr:colOff>447675</xdr:colOff>
          <xdr:row>29</xdr:row>
          <xdr:rowOff>620183</xdr:rowOff>
        </xdr:to>
        <xdr:sp macro="" textlink="">
          <xdr:nvSpPr>
            <xdr:cNvPr id="57350" name="Object 6" hidden="1">
              <a:extLst>
                <a:ext uri="{63B3BB69-23CF-44E3-9099-C40C66FF867C}">
                  <a14:compatExt spid="_x0000_s57350"/>
                </a:ext>
                <a:ext uri="{FF2B5EF4-FFF2-40B4-BE49-F238E27FC236}">
                  <a16:creationId xmlns:a16="http://schemas.microsoft.com/office/drawing/2014/main" id="{4930B412-9D8D-4312-8DE6-72C121A4C9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81801</xdr:colOff>
      <xdr:row>0</xdr:row>
      <xdr:rowOff>108472</xdr:rowOff>
    </xdr:from>
    <xdr:to>
      <xdr:col>1</xdr:col>
      <xdr:colOff>1171797</xdr:colOff>
      <xdr:row>2</xdr:row>
      <xdr:rowOff>89422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21" y="108472"/>
          <a:ext cx="1089996" cy="392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391583</xdr:colOff>
          <xdr:row>45</xdr:row>
          <xdr:rowOff>169333</xdr:rowOff>
        </xdr:from>
        <xdr:to>
          <xdr:col>3</xdr:col>
          <xdr:colOff>705908</xdr:colOff>
          <xdr:row>45</xdr:row>
          <xdr:rowOff>683683</xdr:rowOff>
        </xdr:to>
        <xdr:sp macro="" textlink="">
          <xdr:nvSpPr>
            <xdr:cNvPr id="58375" name="Object 7" hidden="1">
              <a:extLst>
                <a:ext uri="{63B3BB69-23CF-44E3-9099-C40C66FF867C}">
                  <a14:compatExt spid="_x0000_s58375"/>
                </a:ext>
                <a:ext uri="{FF2B5EF4-FFF2-40B4-BE49-F238E27FC236}">
                  <a16:creationId xmlns:a16="http://schemas.microsoft.com/office/drawing/2014/main" id="{B67C0DD9-3C58-4772-B1BE-494045FF93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814917</xdr:colOff>
          <xdr:row>45</xdr:row>
          <xdr:rowOff>158750</xdr:rowOff>
        </xdr:from>
        <xdr:to>
          <xdr:col>5</xdr:col>
          <xdr:colOff>155576</xdr:colOff>
          <xdr:row>45</xdr:row>
          <xdr:rowOff>673100</xdr:rowOff>
        </xdr:to>
        <xdr:sp macro="" textlink="">
          <xdr:nvSpPr>
            <xdr:cNvPr id="58376" name="Object 8" hidden="1">
              <a:extLst>
                <a:ext uri="{63B3BB69-23CF-44E3-9099-C40C66FF867C}">
                  <a14:compatExt spid="_x0000_s58376"/>
                </a:ext>
                <a:ext uri="{FF2B5EF4-FFF2-40B4-BE49-F238E27FC236}">
                  <a16:creationId xmlns:a16="http://schemas.microsoft.com/office/drawing/2014/main" id="{7BB2FE37-3129-4EBA-9D58-56881C2A96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81801</xdr:colOff>
      <xdr:row>0</xdr:row>
      <xdr:rowOff>108472</xdr:rowOff>
    </xdr:from>
    <xdr:to>
      <xdr:col>1</xdr:col>
      <xdr:colOff>1171797</xdr:colOff>
      <xdr:row>2</xdr:row>
      <xdr:rowOff>89422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21" y="108472"/>
          <a:ext cx="1089996" cy="392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571500</xdr:colOff>
          <xdr:row>28</xdr:row>
          <xdr:rowOff>148167</xdr:rowOff>
        </xdr:from>
        <xdr:to>
          <xdr:col>3</xdr:col>
          <xdr:colOff>800100</xdr:colOff>
          <xdr:row>28</xdr:row>
          <xdr:rowOff>662517</xdr:rowOff>
        </xdr:to>
        <xdr:sp macro="" textlink="">
          <xdr:nvSpPr>
            <xdr:cNvPr id="59397" name="Object 5" hidden="1">
              <a:extLst>
                <a:ext uri="{63B3BB69-23CF-44E3-9099-C40C66FF867C}">
                  <a14:compatExt spid="_x0000_s59397"/>
                </a:ext>
                <a:ext uri="{FF2B5EF4-FFF2-40B4-BE49-F238E27FC236}">
                  <a16:creationId xmlns:a16="http://schemas.microsoft.com/office/drawing/2014/main" id="{A2434099-056A-45FE-9AAD-6E27AAB360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941916</xdr:colOff>
          <xdr:row>28</xdr:row>
          <xdr:rowOff>137584</xdr:rowOff>
        </xdr:from>
        <xdr:to>
          <xdr:col>6</xdr:col>
          <xdr:colOff>92075</xdr:colOff>
          <xdr:row>28</xdr:row>
          <xdr:rowOff>651934</xdr:rowOff>
        </xdr:to>
        <xdr:sp macro="" textlink="">
          <xdr:nvSpPr>
            <xdr:cNvPr id="59399" name="Object 7" hidden="1">
              <a:extLst>
                <a:ext uri="{63B3BB69-23CF-44E3-9099-C40C66FF867C}">
                  <a14:compatExt spid="_x0000_s59399"/>
                </a:ext>
                <a:ext uri="{FF2B5EF4-FFF2-40B4-BE49-F238E27FC236}">
                  <a16:creationId xmlns:a16="http://schemas.microsoft.com/office/drawing/2014/main" id="{06548046-1411-46DB-BCB3-F8E6A39AA1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81801</xdr:colOff>
      <xdr:row>0</xdr:row>
      <xdr:rowOff>108472</xdr:rowOff>
    </xdr:from>
    <xdr:to>
      <xdr:col>1</xdr:col>
      <xdr:colOff>1171797</xdr:colOff>
      <xdr:row>2</xdr:row>
      <xdr:rowOff>89422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21" y="108472"/>
          <a:ext cx="1089996" cy="392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437029</xdr:colOff>
          <xdr:row>28</xdr:row>
          <xdr:rowOff>179294</xdr:rowOff>
        </xdr:from>
        <xdr:to>
          <xdr:col>3</xdr:col>
          <xdr:colOff>513229</xdr:colOff>
          <xdr:row>28</xdr:row>
          <xdr:rowOff>693644</xdr:rowOff>
        </xdr:to>
        <xdr:sp macro="" textlink="">
          <xdr:nvSpPr>
            <xdr:cNvPr id="60421" name="Object 5" hidden="1">
              <a:extLst>
                <a:ext uri="{63B3BB69-23CF-44E3-9099-C40C66FF867C}">
                  <a14:compatExt spid="_x0000_s60421"/>
                </a:ext>
                <a:ext uri="{FF2B5EF4-FFF2-40B4-BE49-F238E27FC236}">
                  <a16:creationId xmlns:a16="http://schemas.microsoft.com/office/drawing/2014/main" id="{46608F32-84ED-4026-8ECE-3450325371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705971</xdr:colOff>
          <xdr:row>28</xdr:row>
          <xdr:rowOff>168088</xdr:rowOff>
        </xdr:from>
        <xdr:to>
          <xdr:col>5</xdr:col>
          <xdr:colOff>167529</xdr:colOff>
          <xdr:row>28</xdr:row>
          <xdr:rowOff>682438</xdr:rowOff>
        </xdr:to>
        <xdr:sp macro="" textlink="">
          <xdr:nvSpPr>
            <xdr:cNvPr id="60422" name="Object 6" hidden="1">
              <a:extLst>
                <a:ext uri="{63B3BB69-23CF-44E3-9099-C40C66FF867C}">
                  <a14:compatExt spid="_x0000_s60422"/>
                </a:ext>
                <a:ext uri="{FF2B5EF4-FFF2-40B4-BE49-F238E27FC236}">
                  <a16:creationId xmlns:a16="http://schemas.microsoft.com/office/drawing/2014/main" id="{D1E9EF8F-37BF-43C9-AF71-9390D76336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81801</xdr:colOff>
      <xdr:row>0</xdr:row>
      <xdr:rowOff>108472</xdr:rowOff>
    </xdr:from>
    <xdr:to>
      <xdr:col>1</xdr:col>
      <xdr:colOff>1171797</xdr:colOff>
      <xdr:row>2</xdr:row>
      <xdr:rowOff>89422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21" y="108472"/>
          <a:ext cx="1089996" cy="392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414618</xdr:colOff>
          <xdr:row>27</xdr:row>
          <xdr:rowOff>156882</xdr:rowOff>
        </xdr:from>
        <xdr:to>
          <xdr:col>4</xdr:col>
          <xdr:colOff>143436</xdr:colOff>
          <xdr:row>27</xdr:row>
          <xdr:rowOff>671232</xdr:rowOff>
        </xdr:to>
        <xdr:sp macro="" textlink="">
          <xdr:nvSpPr>
            <xdr:cNvPr id="61445" name="Object 5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FA26D08B-26BC-424C-9284-17326D8D54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287543</xdr:colOff>
          <xdr:row>27</xdr:row>
          <xdr:rowOff>158788</xdr:rowOff>
        </xdr:from>
        <xdr:to>
          <xdr:col>7</xdr:col>
          <xdr:colOff>372047</xdr:colOff>
          <xdr:row>27</xdr:row>
          <xdr:rowOff>672353</xdr:rowOff>
        </xdr:to>
        <xdr:sp macro="" textlink="">
          <xdr:nvSpPr>
            <xdr:cNvPr id="61446" name="Object 6" hidden="1">
              <a:extLst>
                <a:ext uri="{63B3BB69-23CF-44E3-9099-C40C66FF867C}">
                  <a14:compatExt spid="_x0000_s61446"/>
                </a:ext>
                <a:ext uri="{FF2B5EF4-FFF2-40B4-BE49-F238E27FC236}">
                  <a16:creationId xmlns:a16="http://schemas.microsoft.com/office/drawing/2014/main" id="{608246E1-3CF1-4F0E-B021-54834F6E77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81801</xdr:colOff>
      <xdr:row>0</xdr:row>
      <xdr:rowOff>108472</xdr:rowOff>
    </xdr:from>
    <xdr:to>
      <xdr:col>1</xdr:col>
      <xdr:colOff>1171797</xdr:colOff>
      <xdr:row>2</xdr:row>
      <xdr:rowOff>89422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21" y="108472"/>
          <a:ext cx="1089996" cy="392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336177</xdr:colOff>
          <xdr:row>30</xdr:row>
          <xdr:rowOff>201706</xdr:rowOff>
        </xdr:from>
        <xdr:to>
          <xdr:col>3</xdr:col>
          <xdr:colOff>469527</xdr:colOff>
          <xdr:row>30</xdr:row>
          <xdr:rowOff>716056</xdr:rowOff>
        </xdr:to>
        <xdr:sp macro="" textlink="">
          <xdr:nvSpPr>
            <xdr:cNvPr id="62469" name="Object 5" hidden="1">
              <a:extLst>
                <a:ext uri="{63B3BB69-23CF-44E3-9099-C40C66FF867C}">
                  <a14:compatExt spid="_x0000_s62469"/>
                </a:ext>
                <a:ext uri="{FF2B5EF4-FFF2-40B4-BE49-F238E27FC236}">
                  <a16:creationId xmlns:a16="http://schemas.microsoft.com/office/drawing/2014/main" id="{5CE029B8-CE41-4862-88AD-D5267EC8A4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739588</xdr:colOff>
          <xdr:row>30</xdr:row>
          <xdr:rowOff>179294</xdr:rowOff>
        </xdr:from>
        <xdr:to>
          <xdr:col>6</xdr:col>
          <xdr:colOff>271183</xdr:colOff>
          <xdr:row>30</xdr:row>
          <xdr:rowOff>693644</xdr:rowOff>
        </xdr:to>
        <xdr:sp macro="" textlink="">
          <xdr:nvSpPr>
            <xdr:cNvPr id="62470" name="Object 6" hidden="1">
              <a:extLst>
                <a:ext uri="{63B3BB69-23CF-44E3-9099-C40C66FF867C}">
                  <a14:compatExt spid="_x0000_s62470"/>
                </a:ext>
                <a:ext uri="{FF2B5EF4-FFF2-40B4-BE49-F238E27FC236}">
                  <a16:creationId xmlns:a16="http://schemas.microsoft.com/office/drawing/2014/main" id="{48CEE819-F657-47C1-BE86-E3D9A12A05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81801</xdr:colOff>
      <xdr:row>0</xdr:row>
      <xdr:rowOff>108472</xdr:rowOff>
    </xdr:from>
    <xdr:to>
      <xdr:col>1</xdr:col>
      <xdr:colOff>1171797</xdr:colOff>
      <xdr:row>2</xdr:row>
      <xdr:rowOff>89422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21" y="108472"/>
          <a:ext cx="1089996" cy="392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381000</xdr:colOff>
          <xdr:row>31</xdr:row>
          <xdr:rowOff>156882</xdr:rowOff>
        </xdr:from>
        <xdr:to>
          <xdr:col>3</xdr:col>
          <xdr:colOff>590550</xdr:colOff>
          <xdr:row>31</xdr:row>
          <xdr:rowOff>671232</xdr:rowOff>
        </xdr:to>
        <xdr:sp macro="" textlink="">
          <xdr:nvSpPr>
            <xdr:cNvPr id="63493" name="Object 5" hidden="1">
              <a:extLst>
                <a:ext uri="{63B3BB69-23CF-44E3-9099-C40C66FF867C}">
                  <a14:compatExt spid="_x0000_s63493"/>
                </a:ext>
                <a:ext uri="{FF2B5EF4-FFF2-40B4-BE49-F238E27FC236}">
                  <a16:creationId xmlns:a16="http://schemas.microsoft.com/office/drawing/2014/main" id="{183329C1-E4E2-48D0-B19D-7F4AB52AC9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31</xdr:row>
          <xdr:rowOff>168088</xdr:rowOff>
        </xdr:from>
        <xdr:to>
          <xdr:col>6</xdr:col>
          <xdr:colOff>369795</xdr:colOff>
          <xdr:row>31</xdr:row>
          <xdr:rowOff>682438</xdr:rowOff>
        </xdr:to>
        <xdr:sp macro="" textlink="">
          <xdr:nvSpPr>
            <xdr:cNvPr id="63494" name="Object 6" hidden="1">
              <a:extLst>
                <a:ext uri="{63B3BB69-23CF-44E3-9099-C40C66FF867C}">
                  <a14:compatExt spid="_x0000_s63494"/>
                </a:ext>
                <a:ext uri="{FF2B5EF4-FFF2-40B4-BE49-F238E27FC236}">
                  <a16:creationId xmlns:a16="http://schemas.microsoft.com/office/drawing/2014/main" id="{7568565F-C03D-40B0-9FB6-BEE0356EE8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81801</xdr:colOff>
      <xdr:row>0</xdr:row>
      <xdr:rowOff>108472</xdr:rowOff>
    </xdr:from>
    <xdr:to>
      <xdr:col>1</xdr:col>
      <xdr:colOff>1171797</xdr:colOff>
      <xdr:row>2</xdr:row>
      <xdr:rowOff>89422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21" y="108472"/>
          <a:ext cx="1089996" cy="392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433917</xdr:colOff>
          <xdr:row>31</xdr:row>
          <xdr:rowOff>264583</xdr:rowOff>
        </xdr:from>
        <xdr:to>
          <xdr:col>3</xdr:col>
          <xdr:colOff>586317</xdr:colOff>
          <xdr:row>31</xdr:row>
          <xdr:rowOff>778933</xdr:rowOff>
        </xdr:to>
        <xdr:sp macro="" textlink="">
          <xdr:nvSpPr>
            <xdr:cNvPr id="64517" name="Object 5" hidden="1">
              <a:extLst>
                <a:ext uri="{63B3BB69-23CF-44E3-9099-C40C66FF867C}">
                  <a14:compatExt spid="_x0000_s64517"/>
                </a:ext>
                <a:ext uri="{FF2B5EF4-FFF2-40B4-BE49-F238E27FC236}">
                  <a16:creationId xmlns:a16="http://schemas.microsoft.com/office/drawing/2014/main" id="{535185DE-63EE-4704-8BE5-7CAD645CBA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709084</xdr:colOff>
          <xdr:row>31</xdr:row>
          <xdr:rowOff>275166</xdr:rowOff>
        </xdr:from>
        <xdr:to>
          <xdr:col>5</xdr:col>
          <xdr:colOff>439209</xdr:colOff>
          <xdr:row>31</xdr:row>
          <xdr:rowOff>789516</xdr:rowOff>
        </xdr:to>
        <xdr:sp macro="" textlink="">
          <xdr:nvSpPr>
            <xdr:cNvPr id="64518" name="Object 6" hidden="1">
              <a:extLst>
                <a:ext uri="{63B3BB69-23CF-44E3-9099-C40C66FF867C}">
                  <a14:compatExt spid="_x0000_s64518"/>
                </a:ext>
                <a:ext uri="{FF2B5EF4-FFF2-40B4-BE49-F238E27FC236}">
                  <a16:creationId xmlns:a16="http://schemas.microsoft.com/office/drawing/2014/main" id="{A81DBB9E-DA40-448E-B43D-1C1A835A60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81801</xdr:colOff>
      <xdr:row>0</xdr:row>
      <xdr:rowOff>108472</xdr:rowOff>
    </xdr:from>
    <xdr:to>
      <xdr:col>1</xdr:col>
      <xdr:colOff>1171797</xdr:colOff>
      <xdr:row>2</xdr:row>
      <xdr:rowOff>89422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21" y="108472"/>
          <a:ext cx="1089996" cy="392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33</xdr:row>
          <xdr:rowOff>123825</xdr:rowOff>
        </xdr:from>
        <xdr:to>
          <xdr:col>3</xdr:col>
          <xdr:colOff>323850</xdr:colOff>
          <xdr:row>33</xdr:row>
          <xdr:rowOff>638175</xdr:rowOff>
        </xdr:to>
        <xdr:sp macro="" textlink="">
          <xdr:nvSpPr>
            <xdr:cNvPr id="65541" name="Object 5" hidden="1">
              <a:extLst>
                <a:ext uri="{63B3BB69-23CF-44E3-9099-C40C66FF867C}">
                  <a14:compatExt spid="_x0000_s65541"/>
                </a:ext>
                <a:ext uri="{FF2B5EF4-FFF2-40B4-BE49-F238E27FC236}">
                  <a16:creationId xmlns:a16="http://schemas.microsoft.com/office/drawing/2014/main" id="{572432C5-36F2-4641-875E-C4934904AA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428625</xdr:colOff>
          <xdr:row>33</xdr:row>
          <xdr:rowOff>133350</xdr:rowOff>
        </xdr:from>
        <xdr:to>
          <xdr:col>5</xdr:col>
          <xdr:colOff>171450</xdr:colOff>
          <xdr:row>33</xdr:row>
          <xdr:rowOff>647700</xdr:rowOff>
        </xdr:to>
        <xdr:sp macro="" textlink="">
          <xdr:nvSpPr>
            <xdr:cNvPr id="65542" name="Object 6" hidden="1">
              <a:extLst>
                <a:ext uri="{63B3BB69-23CF-44E3-9099-C40C66FF867C}">
                  <a14:compatExt spid="_x0000_s65542"/>
                </a:ext>
                <a:ext uri="{FF2B5EF4-FFF2-40B4-BE49-F238E27FC236}">
                  <a16:creationId xmlns:a16="http://schemas.microsoft.com/office/drawing/2014/main" id="{B413DF87-30E9-4FFB-AE9D-0278290255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81801</xdr:colOff>
      <xdr:row>0</xdr:row>
      <xdr:rowOff>108472</xdr:rowOff>
    </xdr:from>
    <xdr:to>
      <xdr:col>1</xdr:col>
      <xdr:colOff>1171797</xdr:colOff>
      <xdr:row>2</xdr:row>
      <xdr:rowOff>89422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21" y="108472"/>
          <a:ext cx="1089996" cy="392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694765</xdr:colOff>
          <xdr:row>32</xdr:row>
          <xdr:rowOff>190500</xdr:rowOff>
        </xdr:from>
        <xdr:to>
          <xdr:col>3</xdr:col>
          <xdr:colOff>598394</xdr:colOff>
          <xdr:row>32</xdr:row>
          <xdr:rowOff>704850</xdr:rowOff>
        </xdr:to>
        <xdr:sp macro="" textlink="">
          <xdr:nvSpPr>
            <xdr:cNvPr id="66565" name="Object 5" hidden="1">
              <a:extLst>
                <a:ext uri="{63B3BB69-23CF-44E3-9099-C40C66FF867C}">
                  <a14:compatExt spid="_x0000_s66565"/>
                </a:ext>
                <a:ext uri="{FF2B5EF4-FFF2-40B4-BE49-F238E27FC236}">
                  <a16:creationId xmlns:a16="http://schemas.microsoft.com/office/drawing/2014/main" id="{8D4020BA-DE3C-4359-979D-39413E911E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728382</xdr:colOff>
          <xdr:row>32</xdr:row>
          <xdr:rowOff>190500</xdr:rowOff>
        </xdr:from>
        <xdr:to>
          <xdr:col>5</xdr:col>
          <xdr:colOff>647700</xdr:colOff>
          <xdr:row>32</xdr:row>
          <xdr:rowOff>704850</xdr:rowOff>
        </xdr:to>
        <xdr:sp macro="" textlink="">
          <xdr:nvSpPr>
            <xdr:cNvPr id="66566" name="Object 6" hidden="1">
              <a:extLst>
                <a:ext uri="{63B3BB69-23CF-44E3-9099-C40C66FF867C}">
                  <a14:compatExt spid="_x0000_s66566"/>
                </a:ext>
                <a:ext uri="{FF2B5EF4-FFF2-40B4-BE49-F238E27FC236}">
                  <a16:creationId xmlns:a16="http://schemas.microsoft.com/office/drawing/2014/main" id="{F4C6556A-606F-4A0D-9234-EDB9BAE738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81801</xdr:colOff>
      <xdr:row>0</xdr:row>
      <xdr:rowOff>108472</xdr:rowOff>
    </xdr:from>
    <xdr:to>
      <xdr:col>1</xdr:col>
      <xdr:colOff>1171797</xdr:colOff>
      <xdr:row>2</xdr:row>
      <xdr:rowOff>89422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831" y="106567"/>
          <a:ext cx="1086186" cy="405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525780</xdr:colOff>
          <xdr:row>36</xdr:row>
          <xdr:rowOff>167640</xdr:rowOff>
        </xdr:from>
        <xdr:to>
          <xdr:col>2</xdr:col>
          <xdr:colOff>1074420</xdr:colOff>
          <xdr:row>36</xdr:row>
          <xdr:rowOff>685800</xdr:rowOff>
        </xdr:to>
        <xdr:sp macro="" textlink="">
          <xdr:nvSpPr>
            <xdr:cNvPr id="67588" name="Object 4" hidden="1">
              <a:extLst>
                <a:ext uri="{63B3BB69-23CF-44E3-9099-C40C66FF867C}">
                  <a14:compatExt spid="_x0000_s67588"/>
                </a:ext>
                <a:ext uri="{FF2B5EF4-FFF2-40B4-BE49-F238E27FC236}">
                  <a16:creationId xmlns:a16="http://schemas.microsoft.com/office/drawing/2014/main" id="{00000000-0008-0000-1600-000004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36</xdr:row>
          <xdr:rowOff>202406</xdr:rowOff>
        </xdr:from>
        <xdr:to>
          <xdr:col>4</xdr:col>
          <xdr:colOff>592932</xdr:colOff>
          <xdr:row>36</xdr:row>
          <xdr:rowOff>716756</xdr:rowOff>
        </xdr:to>
        <xdr:sp macro="" textlink="">
          <xdr:nvSpPr>
            <xdr:cNvPr id="67591" name="Object 7" hidden="1">
              <a:extLst>
                <a:ext uri="{63B3BB69-23CF-44E3-9099-C40C66FF867C}">
                  <a14:compatExt spid="_x0000_s67591"/>
                </a:ext>
                <a:ext uri="{FF2B5EF4-FFF2-40B4-BE49-F238E27FC236}">
                  <a16:creationId xmlns:a16="http://schemas.microsoft.com/office/drawing/2014/main" id="{E98F7F32-890F-4B6D-AA73-171C1D066E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36</xdr:row>
          <xdr:rowOff>214313</xdr:rowOff>
        </xdr:from>
        <xdr:to>
          <xdr:col>7</xdr:col>
          <xdr:colOff>164306</xdr:colOff>
          <xdr:row>36</xdr:row>
          <xdr:rowOff>728663</xdr:rowOff>
        </xdr:to>
        <xdr:sp macro="" textlink="">
          <xdr:nvSpPr>
            <xdr:cNvPr id="67592" name="Object 8" hidden="1">
              <a:extLst>
                <a:ext uri="{63B3BB69-23CF-44E3-9099-C40C66FF867C}">
                  <a14:compatExt spid="_x0000_s67592"/>
                </a:ext>
                <a:ext uri="{FF2B5EF4-FFF2-40B4-BE49-F238E27FC236}">
                  <a16:creationId xmlns:a16="http://schemas.microsoft.com/office/drawing/2014/main" id="{C1F39063-9E44-4302-BAB6-7AEDB82363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81801</xdr:colOff>
      <xdr:row>0</xdr:row>
      <xdr:rowOff>108472</xdr:rowOff>
    </xdr:from>
    <xdr:to>
      <xdr:col>1</xdr:col>
      <xdr:colOff>1171797</xdr:colOff>
      <xdr:row>2</xdr:row>
      <xdr:rowOff>89422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21" y="108472"/>
          <a:ext cx="1089996" cy="392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444500</xdr:colOff>
          <xdr:row>40</xdr:row>
          <xdr:rowOff>201084</xdr:rowOff>
        </xdr:from>
        <xdr:to>
          <xdr:col>3</xdr:col>
          <xdr:colOff>539750</xdr:colOff>
          <xdr:row>40</xdr:row>
          <xdr:rowOff>715434</xdr:rowOff>
        </xdr:to>
        <xdr:sp macro="" textlink="">
          <xdr:nvSpPr>
            <xdr:cNvPr id="119817" name="Object 9" hidden="1">
              <a:extLst>
                <a:ext uri="{63B3BB69-23CF-44E3-9099-C40C66FF867C}">
                  <a14:compatExt spid="_x0000_s119817"/>
                </a:ext>
                <a:ext uri="{FF2B5EF4-FFF2-40B4-BE49-F238E27FC236}">
                  <a16:creationId xmlns:a16="http://schemas.microsoft.com/office/drawing/2014/main" id="{1CD573E7-043D-4819-9937-D4C3DD0070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677334</xdr:colOff>
          <xdr:row>40</xdr:row>
          <xdr:rowOff>211667</xdr:rowOff>
        </xdr:from>
        <xdr:to>
          <xdr:col>5</xdr:col>
          <xdr:colOff>794808</xdr:colOff>
          <xdr:row>40</xdr:row>
          <xdr:rowOff>726017</xdr:rowOff>
        </xdr:to>
        <xdr:sp macro="" textlink="">
          <xdr:nvSpPr>
            <xdr:cNvPr id="119818" name="Object 10" hidden="1">
              <a:extLst>
                <a:ext uri="{63B3BB69-23CF-44E3-9099-C40C66FF867C}">
                  <a14:compatExt spid="_x0000_s119818"/>
                </a:ext>
                <a:ext uri="{FF2B5EF4-FFF2-40B4-BE49-F238E27FC236}">
                  <a16:creationId xmlns:a16="http://schemas.microsoft.com/office/drawing/2014/main" id="{07C1795C-BA34-436D-BEEF-13F9FE5B1D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81801</xdr:colOff>
      <xdr:row>0</xdr:row>
      <xdr:rowOff>108472</xdr:rowOff>
    </xdr:from>
    <xdr:to>
      <xdr:col>1</xdr:col>
      <xdr:colOff>1171797</xdr:colOff>
      <xdr:row>2</xdr:row>
      <xdr:rowOff>89422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21" y="108472"/>
          <a:ext cx="1089996" cy="392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423333</xdr:colOff>
          <xdr:row>38</xdr:row>
          <xdr:rowOff>127000</xdr:rowOff>
        </xdr:from>
        <xdr:to>
          <xdr:col>3</xdr:col>
          <xdr:colOff>391583</xdr:colOff>
          <xdr:row>38</xdr:row>
          <xdr:rowOff>641350</xdr:rowOff>
        </xdr:to>
        <xdr:sp macro="" textlink="">
          <xdr:nvSpPr>
            <xdr:cNvPr id="120837" name="Object 5" hidden="1">
              <a:extLst>
                <a:ext uri="{63B3BB69-23CF-44E3-9099-C40C66FF867C}">
                  <a14:compatExt spid="_x0000_s120837"/>
                </a:ext>
                <a:ext uri="{FF2B5EF4-FFF2-40B4-BE49-F238E27FC236}">
                  <a16:creationId xmlns:a16="http://schemas.microsoft.com/office/drawing/2014/main" id="{DFE0C149-3998-4DBB-B8B2-145042941B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560916</xdr:colOff>
          <xdr:row>38</xdr:row>
          <xdr:rowOff>116416</xdr:rowOff>
        </xdr:from>
        <xdr:to>
          <xdr:col>5</xdr:col>
          <xdr:colOff>861482</xdr:colOff>
          <xdr:row>38</xdr:row>
          <xdr:rowOff>630766</xdr:rowOff>
        </xdr:to>
        <xdr:sp macro="" textlink="">
          <xdr:nvSpPr>
            <xdr:cNvPr id="120838" name="Object 6" hidden="1">
              <a:extLst>
                <a:ext uri="{63B3BB69-23CF-44E3-9099-C40C66FF867C}">
                  <a14:compatExt spid="_x0000_s120838"/>
                </a:ext>
                <a:ext uri="{FF2B5EF4-FFF2-40B4-BE49-F238E27FC236}">
                  <a16:creationId xmlns:a16="http://schemas.microsoft.com/office/drawing/2014/main" id="{EAEDF261-C2DD-456F-BF42-E40AD0E8FB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81801</xdr:colOff>
      <xdr:row>0</xdr:row>
      <xdr:rowOff>108472</xdr:rowOff>
    </xdr:from>
    <xdr:to>
      <xdr:col>1</xdr:col>
      <xdr:colOff>1171797</xdr:colOff>
      <xdr:row>2</xdr:row>
      <xdr:rowOff>89422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21" y="108472"/>
          <a:ext cx="1089996" cy="392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127000</xdr:colOff>
          <xdr:row>29</xdr:row>
          <xdr:rowOff>105833</xdr:rowOff>
        </xdr:from>
        <xdr:to>
          <xdr:col>3</xdr:col>
          <xdr:colOff>393700</xdr:colOff>
          <xdr:row>29</xdr:row>
          <xdr:rowOff>620183</xdr:rowOff>
        </xdr:to>
        <xdr:sp macro="" textlink="">
          <xdr:nvSpPr>
            <xdr:cNvPr id="117769" name="Object 9" hidden="1">
              <a:extLst>
                <a:ext uri="{63B3BB69-23CF-44E3-9099-C40C66FF867C}">
                  <a14:compatExt spid="_x0000_s117769"/>
                </a:ext>
                <a:ext uri="{FF2B5EF4-FFF2-40B4-BE49-F238E27FC236}">
                  <a16:creationId xmlns:a16="http://schemas.microsoft.com/office/drawing/2014/main" id="{155A5ECB-D325-42AE-B4CE-F73A99CEF5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486834</xdr:colOff>
          <xdr:row>29</xdr:row>
          <xdr:rowOff>95250</xdr:rowOff>
        </xdr:from>
        <xdr:to>
          <xdr:col>6</xdr:col>
          <xdr:colOff>447675</xdr:colOff>
          <xdr:row>29</xdr:row>
          <xdr:rowOff>609600</xdr:rowOff>
        </xdr:to>
        <xdr:sp macro="" textlink="">
          <xdr:nvSpPr>
            <xdr:cNvPr id="117770" name="Object 10" hidden="1">
              <a:extLst>
                <a:ext uri="{63B3BB69-23CF-44E3-9099-C40C66FF867C}">
                  <a14:compatExt spid="_x0000_s117770"/>
                </a:ext>
                <a:ext uri="{FF2B5EF4-FFF2-40B4-BE49-F238E27FC236}">
                  <a16:creationId xmlns:a16="http://schemas.microsoft.com/office/drawing/2014/main" id="{B67179E5-F94E-4A7F-A696-53797FCEAC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81801</xdr:colOff>
      <xdr:row>0</xdr:row>
      <xdr:rowOff>108472</xdr:rowOff>
    </xdr:from>
    <xdr:to>
      <xdr:col>1</xdr:col>
      <xdr:colOff>1171797</xdr:colOff>
      <xdr:row>2</xdr:row>
      <xdr:rowOff>89422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21" y="108472"/>
          <a:ext cx="1089996" cy="392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381000</xdr:colOff>
          <xdr:row>32</xdr:row>
          <xdr:rowOff>84666</xdr:rowOff>
        </xdr:from>
        <xdr:to>
          <xdr:col>3</xdr:col>
          <xdr:colOff>82550</xdr:colOff>
          <xdr:row>32</xdr:row>
          <xdr:rowOff>599016</xdr:rowOff>
        </xdr:to>
        <xdr:sp macro="" textlink="">
          <xdr:nvSpPr>
            <xdr:cNvPr id="118792" name="Object 8" hidden="1">
              <a:extLst>
                <a:ext uri="{63B3BB69-23CF-44E3-9099-C40C66FF867C}">
                  <a14:compatExt spid="_x0000_s118792"/>
                </a:ext>
                <a:ext uri="{FF2B5EF4-FFF2-40B4-BE49-F238E27FC236}">
                  <a16:creationId xmlns:a16="http://schemas.microsoft.com/office/drawing/2014/main" id="{21ED897A-B882-4600-BF7C-006A8DAB92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254000</xdr:colOff>
          <xdr:row>32</xdr:row>
          <xdr:rowOff>105833</xdr:rowOff>
        </xdr:from>
        <xdr:to>
          <xdr:col>5</xdr:col>
          <xdr:colOff>287866</xdr:colOff>
          <xdr:row>32</xdr:row>
          <xdr:rowOff>620183</xdr:rowOff>
        </xdr:to>
        <xdr:sp macro="" textlink="">
          <xdr:nvSpPr>
            <xdr:cNvPr id="118793" name="Object 9" hidden="1">
              <a:extLst>
                <a:ext uri="{63B3BB69-23CF-44E3-9099-C40C66FF867C}">
                  <a14:compatExt spid="_x0000_s118793"/>
                </a:ext>
                <a:ext uri="{FF2B5EF4-FFF2-40B4-BE49-F238E27FC236}">
                  <a16:creationId xmlns:a16="http://schemas.microsoft.com/office/drawing/2014/main" id="{2C05AFD0-8ED1-4B8C-9FCA-AAD9567CDE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81801</xdr:colOff>
      <xdr:row>0</xdr:row>
      <xdr:rowOff>108472</xdr:rowOff>
    </xdr:from>
    <xdr:to>
      <xdr:col>1</xdr:col>
      <xdr:colOff>1171797</xdr:colOff>
      <xdr:row>2</xdr:row>
      <xdr:rowOff>89422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21" y="108472"/>
          <a:ext cx="1089996" cy="392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26</xdr:row>
          <xdr:rowOff>104775</xdr:rowOff>
        </xdr:from>
        <xdr:to>
          <xdr:col>3</xdr:col>
          <xdr:colOff>323850</xdr:colOff>
          <xdr:row>26</xdr:row>
          <xdr:rowOff>619125</xdr:rowOff>
        </xdr:to>
        <xdr:sp macro="" textlink="">
          <xdr:nvSpPr>
            <xdr:cNvPr id="123911" name="Object 7" hidden="1">
              <a:extLst>
                <a:ext uri="{63B3BB69-23CF-44E3-9099-C40C66FF867C}">
                  <a14:compatExt spid="_x0000_s123911"/>
                </a:ext>
                <a:ext uri="{FF2B5EF4-FFF2-40B4-BE49-F238E27FC236}">
                  <a16:creationId xmlns:a16="http://schemas.microsoft.com/office/drawing/2014/main" id="{9C95A626-89CA-4EF0-B643-E400BA41CD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438150</xdr:colOff>
          <xdr:row>26</xdr:row>
          <xdr:rowOff>120015</xdr:rowOff>
        </xdr:from>
        <xdr:to>
          <xdr:col>6</xdr:col>
          <xdr:colOff>262890</xdr:colOff>
          <xdr:row>26</xdr:row>
          <xdr:rowOff>638175</xdr:rowOff>
        </xdr:to>
        <xdr:sp macro="" textlink="">
          <xdr:nvSpPr>
            <xdr:cNvPr id="123912" name="Object 8" hidden="1">
              <a:extLst>
                <a:ext uri="{63B3BB69-23CF-44E3-9099-C40C66FF867C}">
                  <a14:compatExt spid="_x0000_s123912"/>
                </a:ext>
                <a:ext uri="{FF2B5EF4-FFF2-40B4-BE49-F238E27FC236}">
                  <a16:creationId xmlns:a16="http://schemas.microsoft.com/office/drawing/2014/main" id="{A90CFC92-03A0-4EF2-BA82-03AA7C8226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81801</xdr:colOff>
      <xdr:row>0</xdr:row>
      <xdr:rowOff>108472</xdr:rowOff>
    </xdr:from>
    <xdr:to>
      <xdr:col>1</xdr:col>
      <xdr:colOff>1171797</xdr:colOff>
      <xdr:row>2</xdr:row>
      <xdr:rowOff>89422</xdr:rowOff>
    </xdr:to>
    <xdr:pic>
      <xdr:nvPicPr>
        <xdr:cNvPr id="2" name="圖片 1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21" y="108472"/>
          <a:ext cx="1089996" cy="392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559594</xdr:colOff>
          <xdr:row>45</xdr:row>
          <xdr:rowOff>130968</xdr:rowOff>
        </xdr:from>
        <xdr:to>
          <xdr:col>3</xdr:col>
          <xdr:colOff>664369</xdr:colOff>
          <xdr:row>45</xdr:row>
          <xdr:rowOff>645318</xdr:rowOff>
        </xdr:to>
        <xdr:sp macro="" textlink="">
          <xdr:nvSpPr>
            <xdr:cNvPr id="124933" name="Object 5" hidden="1">
              <a:extLst>
                <a:ext uri="{63B3BB69-23CF-44E3-9099-C40C66FF867C}">
                  <a14:compatExt spid="_x0000_s124933"/>
                </a:ext>
                <a:ext uri="{FF2B5EF4-FFF2-40B4-BE49-F238E27FC236}">
                  <a16:creationId xmlns:a16="http://schemas.microsoft.com/office/drawing/2014/main" id="{79AC05FC-FF2D-44F8-B84C-1044F224C9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831532</xdr:colOff>
          <xdr:row>45</xdr:row>
          <xdr:rowOff>134778</xdr:rowOff>
        </xdr:from>
        <xdr:to>
          <xdr:col>6</xdr:col>
          <xdr:colOff>116681</xdr:colOff>
          <xdr:row>45</xdr:row>
          <xdr:rowOff>645318</xdr:rowOff>
        </xdr:to>
        <xdr:sp macro="" textlink="">
          <xdr:nvSpPr>
            <xdr:cNvPr id="124934" name="Object 6" hidden="1">
              <a:extLst>
                <a:ext uri="{63B3BB69-23CF-44E3-9099-C40C66FF867C}">
                  <a14:compatExt spid="_x0000_s124934"/>
                </a:ext>
                <a:ext uri="{FF2B5EF4-FFF2-40B4-BE49-F238E27FC236}">
                  <a16:creationId xmlns:a16="http://schemas.microsoft.com/office/drawing/2014/main" id="{ECED451B-3F79-4D13-BEFB-C8FFCD3355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5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4.emf"/><Relationship Id="rId4" Type="http://schemas.openxmlformats.org/officeDocument/2006/relationships/oleObject" Target="../embeddings/oleObject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image" Target="../media/image7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6" Type="http://schemas.openxmlformats.org/officeDocument/2006/relationships/oleObject" Target="../embeddings/oleObject6.bin"/><Relationship Id="rId5" Type="http://schemas.openxmlformats.org/officeDocument/2006/relationships/image" Target="../media/image6.emf"/><Relationship Id="rId4" Type="http://schemas.openxmlformats.org/officeDocument/2006/relationships/oleObject" Target="../embeddings/oleObject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image" Target="../media/image9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6" Type="http://schemas.openxmlformats.org/officeDocument/2006/relationships/oleObject" Target="../embeddings/oleObject8.bin"/><Relationship Id="rId5" Type="http://schemas.openxmlformats.org/officeDocument/2006/relationships/image" Target="../media/image8.emf"/><Relationship Id="rId4" Type="http://schemas.openxmlformats.org/officeDocument/2006/relationships/oleObject" Target="../embeddings/oleObject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7" Type="http://schemas.openxmlformats.org/officeDocument/2006/relationships/image" Target="../media/image11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6" Type="http://schemas.openxmlformats.org/officeDocument/2006/relationships/oleObject" Target="../embeddings/oleObject10.bin"/><Relationship Id="rId5" Type="http://schemas.openxmlformats.org/officeDocument/2006/relationships/image" Target="../media/image10.emf"/><Relationship Id="rId4" Type="http://schemas.openxmlformats.org/officeDocument/2006/relationships/oleObject" Target="../embeddings/oleObject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7" Type="http://schemas.openxmlformats.org/officeDocument/2006/relationships/image" Target="../media/image13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6" Type="http://schemas.openxmlformats.org/officeDocument/2006/relationships/oleObject" Target="../embeddings/oleObject12.bin"/><Relationship Id="rId5" Type="http://schemas.openxmlformats.org/officeDocument/2006/relationships/image" Target="../media/image12.emf"/><Relationship Id="rId4" Type="http://schemas.openxmlformats.org/officeDocument/2006/relationships/oleObject" Target="../embeddings/oleObject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7" Type="http://schemas.openxmlformats.org/officeDocument/2006/relationships/image" Target="../media/image15.emf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Relationship Id="rId6" Type="http://schemas.openxmlformats.org/officeDocument/2006/relationships/oleObject" Target="../embeddings/oleObject14.bin"/><Relationship Id="rId5" Type="http://schemas.openxmlformats.org/officeDocument/2006/relationships/image" Target="../media/image14.emf"/><Relationship Id="rId4" Type="http://schemas.openxmlformats.org/officeDocument/2006/relationships/oleObject" Target="../embeddings/oleObject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7" Type="http://schemas.openxmlformats.org/officeDocument/2006/relationships/image" Target="../media/image17.emf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6" Type="http://schemas.openxmlformats.org/officeDocument/2006/relationships/oleObject" Target="../embeddings/oleObject16.bin"/><Relationship Id="rId5" Type="http://schemas.openxmlformats.org/officeDocument/2006/relationships/image" Target="../media/image16.emf"/><Relationship Id="rId4" Type="http://schemas.openxmlformats.org/officeDocument/2006/relationships/oleObject" Target="../embeddings/oleObject15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7" Type="http://schemas.openxmlformats.org/officeDocument/2006/relationships/image" Target="../media/image19.emf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Relationship Id="rId6" Type="http://schemas.openxmlformats.org/officeDocument/2006/relationships/oleObject" Target="../embeddings/oleObject18.bin"/><Relationship Id="rId5" Type="http://schemas.openxmlformats.org/officeDocument/2006/relationships/image" Target="../media/image18.emf"/><Relationship Id="rId4" Type="http://schemas.openxmlformats.org/officeDocument/2006/relationships/oleObject" Target="../embeddings/oleObject17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7" Type="http://schemas.openxmlformats.org/officeDocument/2006/relationships/image" Target="../media/image21.emf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Relationship Id="rId6" Type="http://schemas.openxmlformats.org/officeDocument/2006/relationships/oleObject" Target="../embeddings/oleObject20.bin"/><Relationship Id="rId5" Type="http://schemas.openxmlformats.org/officeDocument/2006/relationships/image" Target="../media/image20.emf"/><Relationship Id="rId4" Type="http://schemas.openxmlformats.org/officeDocument/2006/relationships/oleObject" Target="../embeddings/oleObject19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7" Type="http://schemas.openxmlformats.org/officeDocument/2006/relationships/image" Target="../media/image23.emf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Relationship Id="rId6" Type="http://schemas.openxmlformats.org/officeDocument/2006/relationships/oleObject" Target="../embeddings/oleObject22.bin"/><Relationship Id="rId5" Type="http://schemas.openxmlformats.org/officeDocument/2006/relationships/image" Target="../media/image22.emf"/><Relationship Id="rId4" Type="http://schemas.openxmlformats.org/officeDocument/2006/relationships/oleObject" Target="../embeddings/oleObject2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7" Type="http://schemas.openxmlformats.org/officeDocument/2006/relationships/image" Target="../media/image25.emf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Relationship Id="rId6" Type="http://schemas.openxmlformats.org/officeDocument/2006/relationships/oleObject" Target="../embeddings/oleObject24.bin"/><Relationship Id="rId5" Type="http://schemas.openxmlformats.org/officeDocument/2006/relationships/image" Target="../media/image24.emf"/><Relationship Id="rId4" Type="http://schemas.openxmlformats.org/officeDocument/2006/relationships/oleObject" Target="../embeddings/oleObject2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7" Type="http://schemas.openxmlformats.org/officeDocument/2006/relationships/image" Target="../media/image27.emf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Relationship Id="rId6" Type="http://schemas.openxmlformats.org/officeDocument/2006/relationships/oleObject" Target="../embeddings/oleObject26.bin"/><Relationship Id="rId5" Type="http://schemas.openxmlformats.org/officeDocument/2006/relationships/image" Target="../media/image26.emf"/><Relationship Id="rId4" Type="http://schemas.openxmlformats.org/officeDocument/2006/relationships/oleObject" Target="../embeddings/oleObject25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7" Type="http://schemas.openxmlformats.org/officeDocument/2006/relationships/image" Target="../media/image29.emf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Relationship Id="rId6" Type="http://schemas.openxmlformats.org/officeDocument/2006/relationships/oleObject" Target="../embeddings/oleObject28.bin"/><Relationship Id="rId5" Type="http://schemas.openxmlformats.org/officeDocument/2006/relationships/image" Target="../media/image28.emf"/><Relationship Id="rId4" Type="http://schemas.openxmlformats.org/officeDocument/2006/relationships/oleObject" Target="../embeddings/oleObject2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7" Type="http://schemas.openxmlformats.org/officeDocument/2006/relationships/image" Target="../media/image31.emf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Relationship Id="rId6" Type="http://schemas.openxmlformats.org/officeDocument/2006/relationships/oleObject" Target="../embeddings/oleObject30.bin"/><Relationship Id="rId5" Type="http://schemas.openxmlformats.org/officeDocument/2006/relationships/image" Target="../media/image30.emf"/><Relationship Id="rId4" Type="http://schemas.openxmlformats.org/officeDocument/2006/relationships/oleObject" Target="../embeddings/oleObject2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7" Type="http://schemas.openxmlformats.org/officeDocument/2006/relationships/image" Target="../media/image33.emf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Relationship Id="rId6" Type="http://schemas.openxmlformats.org/officeDocument/2006/relationships/oleObject" Target="../embeddings/oleObject32.bin"/><Relationship Id="rId5" Type="http://schemas.openxmlformats.org/officeDocument/2006/relationships/image" Target="../media/image32.emf"/><Relationship Id="rId4" Type="http://schemas.openxmlformats.org/officeDocument/2006/relationships/oleObject" Target="../embeddings/oleObject31.bin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5.bin"/><Relationship Id="rId3" Type="http://schemas.openxmlformats.org/officeDocument/2006/relationships/vmlDrawing" Target="../drawings/vmlDrawing17.vml"/><Relationship Id="rId7" Type="http://schemas.openxmlformats.org/officeDocument/2006/relationships/image" Target="../media/image35.emf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Relationship Id="rId6" Type="http://schemas.openxmlformats.org/officeDocument/2006/relationships/oleObject" Target="../embeddings/oleObject34.bin"/><Relationship Id="rId5" Type="http://schemas.openxmlformats.org/officeDocument/2006/relationships/image" Target="../media/image34.emf"/><Relationship Id="rId4" Type="http://schemas.openxmlformats.org/officeDocument/2006/relationships/oleObject" Target="../embeddings/oleObject33.bin"/><Relationship Id="rId9" Type="http://schemas.openxmlformats.org/officeDocument/2006/relationships/image" Target="../media/image36.emf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7" Type="http://schemas.openxmlformats.org/officeDocument/2006/relationships/image" Target="../media/image38.emf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Relationship Id="rId6" Type="http://schemas.openxmlformats.org/officeDocument/2006/relationships/oleObject" Target="../embeddings/oleObject37.bin"/><Relationship Id="rId5" Type="http://schemas.openxmlformats.org/officeDocument/2006/relationships/image" Target="../media/image37.emf"/><Relationship Id="rId4" Type="http://schemas.openxmlformats.org/officeDocument/2006/relationships/oleObject" Target="../embeddings/oleObject36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7" Type="http://schemas.openxmlformats.org/officeDocument/2006/relationships/image" Target="../media/image40.emf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Relationship Id="rId6" Type="http://schemas.openxmlformats.org/officeDocument/2006/relationships/oleObject" Target="../embeddings/oleObject39.bin"/><Relationship Id="rId5" Type="http://schemas.openxmlformats.org/officeDocument/2006/relationships/image" Target="../media/image39.emf"/><Relationship Id="rId4" Type="http://schemas.openxmlformats.org/officeDocument/2006/relationships/oleObject" Target="../embeddings/oleObject38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7" Type="http://schemas.openxmlformats.org/officeDocument/2006/relationships/image" Target="../media/image42.emf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Relationship Id="rId6" Type="http://schemas.openxmlformats.org/officeDocument/2006/relationships/oleObject" Target="../embeddings/oleObject41.bin"/><Relationship Id="rId5" Type="http://schemas.openxmlformats.org/officeDocument/2006/relationships/image" Target="../media/image41.emf"/><Relationship Id="rId4" Type="http://schemas.openxmlformats.org/officeDocument/2006/relationships/oleObject" Target="../embeddings/oleObject40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7" Type="http://schemas.openxmlformats.org/officeDocument/2006/relationships/image" Target="../media/image44.emf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Relationship Id="rId6" Type="http://schemas.openxmlformats.org/officeDocument/2006/relationships/oleObject" Target="../embeddings/oleObject43.bin"/><Relationship Id="rId5" Type="http://schemas.openxmlformats.org/officeDocument/2006/relationships/image" Target="../media/image43.emf"/><Relationship Id="rId4" Type="http://schemas.openxmlformats.org/officeDocument/2006/relationships/oleObject" Target="../embeddings/oleObject42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7" Type="http://schemas.openxmlformats.org/officeDocument/2006/relationships/image" Target="../media/image46.emf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Relationship Id="rId6" Type="http://schemas.openxmlformats.org/officeDocument/2006/relationships/oleObject" Target="../embeddings/oleObject45.bin"/><Relationship Id="rId5" Type="http://schemas.openxmlformats.org/officeDocument/2006/relationships/image" Target="../media/image45.emf"/><Relationship Id="rId4" Type="http://schemas.openxmlformats.org/officeDocument/2006/relationships/oleObject" Target="../embeddings/oleObject44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7" Type="http://schemas.openxmlformats.org/officeDocument/2006/relationships/image" Target="../media/image48.emf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Relationship Id="rId6" Type="http://schemas.openxmlformats.org/officeDocument/2006/relationships/oleObject" Target="../embeddings/oleObject47.bin"/><Relationship Id="rId5" Type="http://schemas.openxmlformats.org/officeDocument/2006/relationships/image" Target="../media/image47.emf"/><Relationship Id="rId4" Type="http://schemas.openxmlformats.org/officeDocument/2006/relationships/oleObject" Target="../embeddings/oleObject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H30"/>
  <sheetViews>
    <sheetView tabSelected="1" topLeftCell="A4" zoomScale="115" zoomScaleNormal="115" workbookViewId="0">
      <selection activeCell="F19" sqref="F19:H19"/>
    </sheetView>
  </sheetViews>
  <sheetFormatPr defaultColWidth="9" defaultRowHeight="13.2"/>
  <cols>
    <col min="1" max="1" width="2.77734375" style="6" customWidth="1"/>
    <col min="2" max="2" width="8.44140625" style="6" customWidth="1"/>
    <col min="3" max="3" width="11.33203125" style="6" bestFit="1" customWidth="1"/>
    <col min="4" max="4" width="14.44140625" style="6" customWidth="1"/>
    <col min="5" max="5" width="11.88671875" style="6" bestFit="1" customWidth="1"/>
    <col min="6" max="6" width="22.109375" style="6" customWidth="1"/>
    <col min="7" max="7" width="24.44140625" style="6" customWidth="1"/>
    <col min="8" max="8" width="64.88671875" style="6" customWidth="1"/>
    <col min="9" max="256" width="9" style="6"/>
    <col min="257" max="257" width="1.33203125" style="6" customWidth="1"/>
    <col min="258" max="258" width="8.44140625" style="6" customWidth="1"/>
    <col min="259" max="259" width="14" style="6" customWidth="1"/>
    <col min="260" max="260" width="13.109375" style="6" customWidth="1"/>
    <col min="261" max="261" width="12.6640625" style="6" customWidth="1"/>
    <col min="262" max="262" width="22.109375" style="6" customWidth="1"/>
    <col min="263" max="263" width="24.44140625" style="6" customWidth="1"/>
    <col min="264" max="264" width="7.109375" style="6" customWidth="1"/>
    <col min="265" max="512" width="9" style="6"/>
    <col min="513" max="513" width="1.33203125" style="6" customWidth="1"/>
    <col min="514" max="514" width="8.44140625" style="6" customWidth="1"/>
    <col min="515" max="515" width="14" style="6" customWidth="1"/>
    <col min="516" max="516" width="13.109375" style="6" customWidth="1"/>
    <col min="517" max="517" width="12.6640625" style="6" customWidth="1"/>
    <col min="518" max="518" width="22.109375" style="6" customWidth="1"/>
    <col min="519" max="519" width="24.44140625" style="6" customWidth="1"/>
    <col min="520" max="520" width="7.109375" style="6" customWidth="1"/>
    <col min="521" max="768" width="9" style="6"/>
    <col min="769" max="769" width="1.33203125" style="6" customWidth="1"/>
    <col min="770" max="770" width="8.44140625" style="6" customWidth="1"/>
    <col min="771" max="771" width="14" style="6" customWidth="1"/>
    <col min="772" max="772" width="13.109375" style="6" customWidth="1"/>
    <col min="773" max="773" width="12.6640625" style="6" customWidth="1"/>
    <col min="774" max="774" width="22.109375" style="6" customWidth="1"/>
    <col min="775" max="775" width="24.44140625" style="6" customWidth="1"/>
    <col min="776" max="776" width="7.109375" style="6" customWidth="1"/>
    <col min="777" max="1024" width="9" style="6"/>
    <col min="1025" max="1025" width="1.33203125" style="6" customWidth="1"/>
    <col min="1026" max="1026" width="8.44140625" style="6" customWidth="1"/>
    <col min="1027" max="1027" width="14" style="6" customWidth="1"/>
    <col min="1028" max="1028" width="13.109375" style="6" customWidth="1"/>
    <col min="1029" max="1029" width="12.6640625" style="6" customWidth="1"/>
    <col min="1030" max="1030" width="22.109375" style="6" customWidth="1"/>
    <col min="1031" max="1031" width="24.44140625" style="6" customWidth="1"/>
    <col min="1032" max="1032" width="7.109375" style="6" customWidth="1"/>
    <col min="1033" max="1280" width="9" style="6"/>
    <col min="1281" max="1281" width="1.33203125" style="6" customWidth="1"/>
    <col min="1282" max="1282" width="8.44140625" style="6" customWidth="1"/>
    <col min="1283" max="1283" width="14" style="6" customWidth="1"/>
    <col min="1284" max="1284" width="13.109375" style="6" customWidth="1"/>
    <col min="1285" max="1285" width="12.6640625" style="6" customWidth="1"/>
    <col min="1286" max="1286" width="22.109375" style="6" customWidth="1"/>
    <col min="1287" max="1287" width="24.44140625" style="6" customWidth="1"/>
    <col min="1288" max="1288" width="7.109375" style="6" customWidth="1"/>
    <col min="1289" max="1536" width="9" style="6"/>
    <col min="1537" max="1537" width="1.33203125" style="6" customWidth="1"/>
    <col min="1538" max="1538" width="8.44140625" style="6" customWidth="1"/>
    <col min="1539" max="1539" width="14" style="6" customWidth="1"/>
    <col min="1540" max="1540" width="13.109375" style="6" customWidth="1"/>
    <col min="1541" max="1541" width="12.6640625" style="6" customWidth="1"/>
    <col min="1542" max="1542" width="22.109375" style="6" customWidth="1"/>
    <col min="1543" max="1543" width="24.44140625" style="6" customWidth="1"/>
    <col min="1544" max="1544" width="7.109375" style="6" customWidth="1"/>
    <col min="1545" max="1792" width="9" style="6"/>
    <col min="1793" max="1793" width="1.33203125" style="6" customWidth="1"/>
    <col min="1794" max="1794" width="8.44140625" style="6" customWidth="1"/>
    <col min="1795" max="1795" width="14" style="6" customWidth="1"/>
    <col min="1796" max="1796" width="13.109375" style="6" customWidth="1"/>
    <col min="1797" max="1797" width="12.6640625" style="6" customWidth="1"/>
    <col min="1798" max="1798" width="22.109375" style="6" customWidth="1"/>
    <col min="1799" max="1799" width="24.44140625" style="6" customWidth="1"/>
    <col min="1800" max="1800" width="7.109375" style="6" customWidth="1"/>
    <col min="1801" max="2048" width="9" style="6"/>
    <col min="2049" max="2049" width="1.33203125" style="6" customWidth="1"/>
    <col min="2050" max="2050" width="8.44140625" style="6" customWidth="1"/>
    <col min="2051" max="2051" width="14" style="6" customWidth="1"/>
    <col min="2052" max="2052" width="13.109375" style="6" customWidth="1"/>
    <col min="2053" max="2053" width="12.6640625" style="6" customWidth="1"/>
    <col min="2054" max="2054" width="22.109375" style="6" customWidth="1"/>
    <col min="2055" max="2055" width="24.44140625" style="6" customWidth="1"/>
    <col min="2056" max="2056" width="7.109375" style="6" customWidth="1"/>
    <col min="2057" max="2304" width="9" style="6"/>
    <col min="2305" max="2305" width="1.33203125" style="6" customWidth="1"/>
    <col min="2306" max="2306" width="8.44140625" style="6" customWidth="1"/>
    <col min="2307" max="2307" width="14" style="6" customWidth="1"/>
    <col min="2308" max="2308" width="13.109375" style="6" customWidth="1"/>
    <col min="2309" max="2309" width="12.6640625" style="6" customWidth="1"/>
    <col min="2310" max="2310" width="22.109375" style="6" customWidth="1"/>
    <col min="2311" max="2311" width="24.44140625" style="6" customWidth="1"/>
    <col min="2312" max="2312" width="7.109375" style="6" customWidth="1"/>
    <col min="2313" max="2560" width="9" style="6"/>
    <col min="2561" max="2561" width="1.33203125" style="6" customWidth="1"/>
    <col min="2562" max="2562" width="8.44140625" style="6" customWidth="1"/>
    <col min="2563" max="2563" width="14" style="6" customWidth="1"/>
    <col min="2564" max="2564" width="13.109375" style="6" customWidth="1"/>
    <col min="2565" max="2565" width="12.6640625" style="6" customWidth="1"/>
    <col min="2566" max="2566" width="22.109375" style="6" customWidth="1"/>
    <col min="2567" max="2567" width="24.44140625" style="6" customWidth="1"/>
    <col min="2568" max="2568" width="7.109375" style="6" customWidth="1"/>
    <col min="2569" max="2816" width="9" style="6"/>
    <col min="2817" max="2817" width="1.33203125" style="6" customWidth="1"/>
    <col min="2818" max="2818" width="8.44140625" style="6" customWidth="1"/>
    <col min="2819" max="2819" width="14" style="6" customWidth="1"/>
    <col min="2820" max="2820" width="13.109375" style="6" customWidth="1"/>
    <col min="2821" max="2821" width="12.6640625" style="6" customWidth="1"/>
    <col min="2822" max="2822" width="22.109375" style="6" customWidth="1"/>
    <col min="2823" max="2823" width="24.44140625" style="6" customWidth="1"/>
    <col min="2824" max="2824" width="7.109375" style="6" customWidth="1"/>
    <col min="2825" max="3072" width="9" style="6"/>
    <col min="3073" max="3073" width="1.33203125" style="6" customWidth="1"/>
    <col min="3074" max="3074" width="8.44140625" style="6" customWidth="1"/>
    <col min="3075" max="3075" width="14" style="6" customWidth="1"/>
    <col min="3076" max="3076" width="13.109375" style="6" customWidth="1"/>
    <col min="3077" max="3077" width="12.6640625" style="6" customWidth="1"/>
    <col min="3078" max="3078" width="22.109375" style="6" customWidth="1"/>
    <col min="3079" max="3079" width="24.44140625" style="6" customWidth="1"/>
    <col min="3080" max="3080" width="7.109375" style="6" customWidth="1"/>
    <col min="3081" max="3328" width="9" style="6"/>
    <col min="3329" max="3329" width="1.33203125" style="6" customWidth="1"/>
    <col min="3330" max="3330" width="8.44140625" style="6" customWidth="1"/>
    <col min="3331" max="3331" width="14" style="6" customWidth="1"/>
    <col min="3332" max="3332" width="13.109375" style="6" customWidth="1"/>
    <col min="3333" max="3333" width="12.6640625" style="6" customWidth="1"/>
    <col min="3334" max="3334" width="22.109375" style="6" customWidth="1"/>
    <col min="3335" max="3335" width="24.44140625" style="6" customWidth="1"/>
    <col min="3336" max="3336" width="7.109375" style="6" customWidth="1"/>
    <col min="3337" max="3584" width="9" style="6"/>
    <col min="3585" max="3585" width="1.33203125" style="6" customWidth="1"/>
    <col min="3586" max="3586" width="8.44140625" style="6" customWidth="1"/>
    <col min="3587" max="3587" width="14" style="6" customWidth="1"/>
    <col min="3588" max="3588" width="13.109375" style="6" customWidth="1"/>
    <col min="3589" max="3589" width="12.6640625" style="6" customWidth="1"/>
    <col min="3590" max="3590" width="22.109375" style="6" customWidth="1"/>
    <col min="3591" max="3591" width="24.44140625" style="6" customWidth="1"/>
    <col min="3592" max="3592" width="7.109375" style="6" customWidth="1"/>
    <col min="3593" max="3840" width="9" style="6"/>
    <col min="3841" max="3841" width="1.33203125" style="6" customWidth="1"/>
    <col min="3842" max="3842" width="8.44140625" style="6" customWidth="1"/>
    <col min="3843" max="3843" width="14" style="6" customWidth="1"/>
    <col min="3844" max="3844" width="13.109375" style="6" customWidth="1"/>
    <col min="3845" max="3845" width="12.6640625" style="6" customWidth="1"/>
    <col min="3846" max="3846" width="22.109375" style="6" customWidth="1"/>
    <col min="3847" max="3847" width="24.44140625" style="6" customWidth="1"/>
    <col min="3848" max="3848" width="7.109375" style="6" customWidth="1"/>
    <col min="3849" max="4096" width="9" style="6"/>
    <col min="4097" max="4097" width="1.33203125" style="6" customWidth="1"/>
    <col min="4098" max="4098" width="8.44140625" style="6" customWidth="1"/>
    <col min="4099" max="4099" width="14" style="6" customWidth="1"/>
    <col min="4100" max="4100" width="13.109375" style="6" customWidth="1"/>
    <col min="4101" max="4101" width="12.6640625" style="6" customWidth="1"/>
    <col min="4102" max="4102" width="22.109375" style="6" customWidth="1"/>
    <col min="4103" max="4103" width="24.44140625" style="6" customWidth="1"/>
    <col min="4104" max="4104" width="7.109375" style="6" customWidth="1"/>
    <col min="4105" max="4352" width="9" style="6"/>
    <col min="4353" max="4353" width="1.33203125" style="6" customWidth="1"/>
    <col min="4354" max="4354" width="8.44140625" style="6" customWidth="1"/>
    <col min="4355" max="4355" width="14" style="6" customWidth="1"/>
    <col min="4356" max="4356" width="13.109375" style="6" customWidth="1"/>
    <col min="4357" max="4357" width="12.6640625" style="6" customWidth="1"/>
    <col min="4358" max="4358" width="22.109375" style="6" customWidth="1"/>
    <col min="4359" max="4359" width="24.44140625" style="6" customWidth="1"/>
    <col min="4360" max="4360" width="7.109375" style="6" customWidth="1"/>
    <col min="4361" max="4608" width="9" style="6"/>
    <col min="4609" max="4609" width="1.33203125" style="6" customWidth="1"/>
    <col min="4610" max="4610" width="8.44140625" style="6" customWidth="1"/>
    <col min="4611" max="4611" width="14" style="6" customWidth="1"/>
    <col min="4612" max="4612" width="13.109375" style="6" customWidth="1"/>
    <col min="4613" max="4613" width="12.6640625" style="6" customWidth="1"/>
    <col min="4614" max="4614" width="22.109375" style="6" customWidth="1"/>
    <col min="4615" max="4615" width="24.44140625" style="6" customWidth="1"/>
    <col min="4616" max="4616" width="7.109375" style="6" customWidth="1"/>
    <col min="4617" max="4864" width="9" style="6"/>
    <col min="4865" max="4865" width="1.33203125" style="6" customWidth="1"/>
    <col min="4866" max="4866" width="8.44140625" style="6" customWidth="1"/>
    <col min="4867" max="4867" width="14" style="6" customWidth="1"/>
    <col min="4868" max="4868" width="13.109375" style="6" customWidth="1"/>
    <col min="4869" max="4869" width="12.6640625" style="6" customWidth="1"/>
    <col min="4870" max="4870" width="22.109375" style="6" customWidth="1"/>
    <col min="4871" max="4871" width="24.44140625" style="6" customWidth="1"/>
    <col min="4872" max="4872" width="7.109375" style="6" customWidth="1"/>
    <col min="4873" max="5120" width="9" style="6"/>
    <col min="5121" max="5121" width="1.33203125" style="6" customWidth="1"/>
    <col min="5122" max="5122" width="8.44140625" style="6" customWidth="1"/>
    <col min="5123" max="5123" width="14" style="6" customWidth="1"/>
    <col min="5124" max="5124" width="13.109375" style="6" customWidth="1"/>
    <col min="5125" max="5125" width="12.6640625" style="6" customWidth="1"/>
    <col min="5126" max="5126" width="22.109375" style="6" customWidth="1"/>
    <col min="5127" max="5127" width="24.44140625" style="6" customWidth="1"/>
    <col min="5128" max="5128" width="7.109375" style="6" customWidth="1"/>
    <col min="5129" max="5376" width="9" style="6"/>
    <col min="5377" max="5377" width="1.33203125" style="6" customWidth="1"/>
    <col min="5378" max="5378" width="8.44140625" style="6" customWidth="1"/>
    <col min="5379" max="5379" width="14" style="6" customWidth="1"/>
    <col min="5380" max="5380" width="13.109375" style="6" customWidth="1"/>
    <col min="5381" max="5381" width="12.6640625" style="6" customWidth="1"/>
    <col min="5382" max="5382" width="22.109375" style="6" customWidth="1"/>
    <col min="5383" max="5383" width="24.44140625" style="6" customWidth="1"/>
    <col min="5384" max="5384" width="7.109375" style="6" customWidth="1"/>
    <col min="5385" max="5632" width="9" style="6"/>
    <col min="5633" max="5633" width="1.33203125" style="6" customWidth="1"/>
    <col min="5634" max="5634" width="8.44140625" style="6" customWidth="1"/>
    <col min="5635" max="5635" width="14" style="6" customWidth="1"/>
    <col min="5636" max="5636" width="13.109375" style="6" customWidth="1"/>
    <col min="5637" max="5637" width="12.6640625" style="6" customWidth="1"/>
    <col min="5638" max="5638" width="22.109375" style="6" customWidth="1"/>
    <col min="5639" max="5639" width="24.44140625" style="6" customWidth="1"/>
    <col min="5640" max="5640" width="7.109375" style="6" customWidth="1"/>
    <col min="5641" max="5888" width="9" style="6"/>
    <col min="5889" max="5889" width="1.33203125" style="6" customWidth="1"/>
    <col min="5890" max="5890" width="8.44140625" style="6" customWidth="1"/>
    <col min="5891" max="5891" width="14" style="6" customWidth="1"/>
    <col min="5892" max="5892" width="13.109375" style="6" customWidth="1"/>
    <col min="5893" max="5893" width="12.6640625" style="6" customWidth="1"/>
    <col min="5894" max="5894" width="22.109375" style="6" customWidth="1"/>
    <col min="5895" max="5895" width="24.44140625" style="6" customWidth="1"/>
    <col min="5896" max="5896" width="7.109375" style="6" customWidth="1"/>
    <col min="5897" max="6144" width="9" style="6"/>
    <col min="6145" max="6145" width="1.33203125" style="6" customWidth="1"/>
    <col min="6146" max="6146" width="8.44140625" style="6" customWidth="1"/>
    <col min="6147" max="6147" width="14" style="6" customWidth="1"/>
    <col min="6148" max="6148" width="13.109375" style="6" customWidth="1"/>
    <col min="6149" max="6149" width="12.6640625" style="6" customWidth="1"/>
    <col min="6150" max="6150" width="22.109375" style="6" customWidth="1"/>
    <col min="6151" max="6151" width="24.44140625" style="6" customWidth="1"/>
    <col min="6152" max="6152" width="7.109375" style="6" customWidth="1"/>
    <col min="6153" max="6400" width="9" style="6"/>
    <col min="6401" max="6401" width="1.33203125" style="6" customWidth="1"/>
    <col min="6402" max="6402" width="8.44140625" style="6" customWidth="1"/>
    <col min="6403" max="6403" width="14" style="6" customWidth="1"/>
    <col min="6404" max="6404" width="13.109375" style="6" customWidth="1"/>
    <col min="6405" max="6405" width="12.6640625" style="6" customWidth="1"/>
    <col min="6406" max="6406" width="22.109375" style="6" customWidth="1"/>
    <col min="6407" max="6407" width="24.44140625" style="6" customWidth="1"/>
    <col min="6408" max="6408" width="7.109375" style="6" customWidth="1"/>
    <col min="6409" max="6656" width="9" style="6"/>
    <col min="6657" max="6657" width="1.33203125" style="6" customWidth="1"/>
    <col min="6658" max="6658" width="8.44140625" style="6" customWidth="1"/>
    <col min="6659" max="6659" width="14" style="6" customWidth="1"/>
    <col min="6660" max="6660" width="13.109375" style="6" customWidth="1"/>
    <col min="6661" max="6661" width="12.6640625" style="6" customWidth="1"/>
    <col min="6662" max="6662" width="22.109375" style="6" customWidth="1"/>
    <col min="6663" max="6663" width="24.44140625" style="6" customWidth="1"/>
    <col min="6664" max="6664" width="7.109375" style="6" customWidth="1"/>
    <col min="6665" max="6912" width="9" style="6"/>
    <col min="6913" max="6913" width="1.33203125" style="6" customWidth="1"/>
    <col min="6914" max="6914" width="8.44140625" style="6" customWidth="1"/>
    <col min="6915" max="6915" width="14" style="6" customWidth="1"/>
    <col min="6916" max="6916" width="13.109375" style="6" customWidth="1"/>
    <col min="6917" max="6917" width="12.6640625" style="6" customWidth="1"/>
    <col min="6918" max="6918" width="22.109375" style="6" customWidth="1"/>
    <col min="6919" max="6919" width="24.44140625" style="6" customWidth="1"/>
    <col min="6920" max="6920" width="7.109375" style="6" customWidth="1"/>
    <col min="6921" max="7168" width="9" style="6"/>
    <col min="7169" max="7169" width="1.33203125" style="6" customWidth="1"/>
    <col min="7170" max="7170" width="8.44140625" style="6" customWidth="1"/>
    <col min="7171" max="7171" width="14" style="6" customWidth="1"/>
    <col min="7172" max="7172" width="13.109375" style="6" customWidth="1"/>
    <col min="7173" max="7173" width="12.6640625" style="6" customWidth="1"/>
    <col min="7174" max="7174" width="22.109375" style="6" customWidth="1"/>
    <col min="7175" max="7175" width="24.44140625" style="6" customWidth="1"/>
    <col min="7176" max="7176" width="7.109375" style="6" customWidth="1"/>
    <col min="7177" max="7424" width="9" style="6"/>
    <col min="7425" max="7425" width="1.33203125" style="6" customWidth="1"/>
    <col min="7426" max="7426" width="8.44140625" style="6" customWidth="1"/>
    <col min="7427" max="7427" width="14" style="6" customWidth="1"/>
    <col min="7428" max="7428" width="13.109375" style="6" customWidth="1"/>
    <col min="7429" max="7429" width="12.6640625" style="6" customWidth="1"/>
    <col min="7430" max="7430" width="22.109375" style="6" customWidth="1"/>
    <col min="7431" max="7431" width="24.44140625" style="6" customWidth="1"/>
    <col min="7432" max="7432" width="7.109375" style="6" customWidth="1"/>
    <col min="7433" max="7680" width="9" style="6"/>
    <col min="7681" max="7681" width="1.33203125" style="6" customWidth="1"/>
    <col min="7682" max="7682" width="8.44140625" style="6" customWidth="1"/>
    <col min="7683" max="7683" width="14" style="6" customWidth="1"/>
    <col min="7684" max="7684" width="13.109375" style="6" customWidth="1"/>
    <col min="7685" max="7685" width="12.6640625" style="6" customWidth="1"/>
    <col min="7686" max="7686" width="22.109375" style="6" customWidth="1"/>
    <col min="7687" max="7687" width="24.44140625" style="6" customWidth="1"/>
    <col min="7688" max="7688" width="7.109375" style="6" customWidth="1"/>
    <col min="7689" max="7936" width="9" style="6"/>
    <col min="7937" max="7937" width="1.33203125" style="6" customWidth="1"/>
    <col min="7938" max="7938" width="8.44140625" style="6" customWidth="1"/>
    <col min="7939" max="7939" width="14" style="6" customWidth="1"/>
    <col min="7940" max="7940" width="13.109375" style="6" customWidth="1"/>
    <col min="7941" max="7941" width="12.6640625" style="6" customWidth="1"/>
    <col min="7942" max="7942" width="22.109375" style="6" customWidth="1"/>
    <col min="7943" max="7943" width="24.44140625" style="6" customWidth="1"/>
    <col min="7944" max="7944" width="7.109375" style="6" customWidth="1"/>
    <col min="7945" max="8192" width="9" style="6"/>
    <col min="8193" max="8193" width="1.33203125" style="6" customWidth="1"/>
    <col min="8194" max="8194" width="8.44140625" style="6" customWidth="1"/>
    <col min="8195" max="8195" width="14" style="6" customWidth="1"/>
    <col min="8196" max="8196" width="13.109375" style="6" customWidth="1"/>
    <col min="8197" max="8197" width="12.6640625" style="6" customWidth="1"/>
    <col min="8198" max="8198" width="22.109375" style="6" customWidth="1"/>
    <col min="8199" max="8199" width="24.44140625" style="6" customWidth="1"/>
    <col min="8200" max="8200" width="7.109375" style="6" customWidth="1"/>
    <col min="8201" max="8448" width="9" style="6"/>
    <col min="8449" max="8449" width="1.33203125" style="6" customWidth="1"/>
    <col min="8450" max="8450" width="8.44140625" style="6" customWidth="1"/>
    <col min="8451" max="8451" width="14" style="6" customWidth="1"/>
    <col min="8452" max="8452" width="13.109375" style="6" customWidth="1"/>
    <col min="8453" max="8453" width="12.6640625" style="6" customWidth="1"/>
    <col min="8454" max="8454" width="22.109375" style="6" customWidth="1"/>
    <col min="8455" max="8455" width="24.44140625" style="6" customWidth="1"/>
    <col min="8456" max="8456" width="7.109375" style="6" customWidth="1"/>
    <col min="8457" max="8704" width="9" style="6"/>
    <col min="8705" max="8705" width="1.33203125" style="6" customWidth="1"/>
    <col min="8706" max="8706" width="8.44140625" style="6" customWidth="1"/>
    <col min="8707" max="8707" width="14" style="6" customWidth="1"/>
    <col min="8708" max="8708" width="13.109375" style="6" customWidth="1"/>
    <col min="8709" max="8709" width="12.6640625" style="6" customWidth="1"/>
    <col min="8710" max="8710" width="22.109375" style="6" customWidth="1"/>
    <col min="8711" max="8711" width="24.44140625" style="6" customWidth="1"/>
    <col min="8712" max="8712" width="7.109375" style="6" customWidth="1"/>
    <col min="8713" max="8960" width="9" style="6"/>
    <col min="8961" max="8961" width="1.33203125" style="6" customWidth="1"/>
    <col min="8962" max="8962" width="8.44140625" style="6" customWidth="1"/>
    <col min="8963" max="8963" width="14" style="6" customWidth="1"/>
    <col min="8964" max="8964" width="13.109375" style="6" customWidth="1"/>
    <col min="8965" max="8965" width="12.6640625" style="6" customWidth="1"/>
    <col min="8966" max="8966" width="22.109375" style="6" customWidth="1"/>
    <col min="8967" max="8967" width="24.44140625" style="6" customWidth="1"/>
    <col min="8968" max="8968" width="7.109375" style="6" customWidth="1"/>
    <col min="8969" max="9216" width="9" style="6"/>
    <col min="9217" max="9217" width="1.33203125" style="6" customWidth="1"/>
    <col min="9218" max="9218" width="8.44140625" style="6" customWidth="1"/>
    <col min="9219" max="9219" width="14" style="6" customWidth="1"/>
    <col min="9220" max="9220" width="13.109375" style="6" customWidth="1"/>
    <col min="9221" max="9221" width="12.6640625" style="6" customWidth="1"/>
    <col min="9222" max="9222" width="22.109375" style="6" customWidth="1"/>
    <col min="9223" max="9223" width="24.44140625" style="6" customWidth="1"/>
    <col min="9224" max="9224" width="7.109375" style="6" customWidth="1"/>
    <col min="9225" max="9472" width="9" style="6"/>
    <col min="9473" max="9473" width="1.33203125" style="6" customWidth="1"/>
    <col min="9474" max="9474" width="8.44140625" style="6" customWidth="1"/>
    <col min="9475" max="9475" width="14" style="6" customWidth="1"/>
    <col min="9476" max="9476" width="13.109375" style="6" customWidth="1"/>
    <col min="9477" max="9477" width="12.6640625" style="6" customWidth="1"/>
    <col min="9478" max="9478" width="22.109375" style="6" customWidth="1"/>
    <col min="9479" max="9479" width="24.44140625" style="6" customWidth="1"/>
    <col min="9480" max="9480" width="7.109375" style="6" customWidth="1"/>
    <col min="9481" max="9728" width="9" style="6"/>
    <col min="9729" max="9729" width="1.33203125" style="6" customWidth="1"/>
    <col min="9730" max="9730" width="8.44140625" style="6" customWidth="1"/>
    <col min="9731" max="9731" width="14" style="6" customWidth="1"/>
    <col min="9732" max="9732" width="13.109375" style="6" customWidth="1"/>
    <col min="9733" max="9733" width="12.6640625" style="6" customWidth="1"/>
    <col min="9734" max="9734" width="22.109375" style="6" customWidth="1"/>
    <col min="9735" max="9735" width="24.44140625" style="6" customWidth="1"/>
    <col min="9736" max="9736" width="7.109375" style="6" customWidth="1"/>
    <col min="9737" max="9984" width="9" style="6"/>
    <col min="9985" max="9985" width="1.33203125" style="6" customWidth="1"/>
    <col min="9986" max="9986" width="8.44140625" style="6" customWidth="1"/>
    <col min="9987" max="9987" width="14" style="6" customWidth="1"/>
    <col min="9988" max="9988" width="13.109375" style="6" customWidth="1"/>
    <col min="9989" max="9989" width="12.6640625" style="6" customWidth="1"/>
    <col min="9990" max="9990" width="22.109375" style="6" customWidth="1"/>
    <col min="9991" max="9991" width="24.44140625" style="6" customWidth="1"/>
    <col min="9992" max="9992" width="7.109375" style="6" customWidth="1"/>
    <col min="9993" max="10240" width="9" style="6"/>
    <col min="10241" max="10241" width="1.33203125" style="6" customWidth="1"/>
    <col min="10242" max="10242" width="8.44140625" style="6" customWidth="1"/>
    <col min="10243" max="10243" width="14" style="6" customWidth="1"/>
    <col min="10244" max="10244" width="13.109375" style="6" customWidth="1"/>
    <col min="10245" max="10245" width="12.6640625" style="6" customWidth="1"/>
    <col min="10246" max="10246" width="22.109375" style="6" customWidth="1"/>
    <col min="10247" max="10247" width="24.44140625" style="6" customWidth="1"/>
    <col min="10248" max="10248" width="7.109375" style="6" customWidth="1"/>
    <col min="10249" max="10496" width="9" style="6"/>
    <col min="10497" max="10497" width="1.33203125" style="6" customWidth="1"/>
    <col min="10498" max="10498" width="8.44140625" style="6" customWidth="1"/>
    <col min="10499" max="10499" width="14" style="6" customWidth="1"/>
    <col min="10500" max="10500" width="13.109375" style="6" customWidth="1"/>
    <col min="10501" max="10501" width="12.6640625" style="6" customWidth="1"/>
    <col min="10502" max="10502" width="22.109375" style="6" customWidth="1"/>
    <col min="10503" max="10503" width="24.44140625" style="6" customWidth="1"/>
    <col min="10504" max="10504" width="7.109375" style="6" customWidth="1"/>
    <col min="10505" max="10752" width="9" style="6"/>
    <col min="10753" max="10753" width="1.33203125" style="6" customWidth="1"/>
    <col min="10754" max="10754" width="8.44140625" style="6" customWidth="1"/>
    <col min="10755" max="10755" width="14" style="6" customWidth="1"/>
    <col min="10756" max="10756" width="13.109375" style="6" customWidth="1"/>
    <col min="10757" max="10757" width="12.6640625" style="6" customWidth="1"/>
    <col min="10758" max="10758" width="22.109375" style="6" customWidth="1"/>
    <col min="10759" max="10759" width="24.44140625" style="6" customWidth="1"/>
    <col min="10760" max="10760" width="7.109375" style="6" customWidth="1"/>
    <col min="10761" max="11008" width="9" style="6"/>
    <col min="11009" max="11009" width="1.33203125" style="6" customWidth="1"/>
    <col min="11010" max="11010" width="8.44140625" style="6" customWidth="1"/>
    <col min="11011" max="11011" width="14" style="6" customWidth="1"/>
    <col min="11012" max="11012" width="13.109375" style="6" customWidth="1"/>
    <col min="11013" max="11013" width="12.6640625" style="6" customWidth="1"/>
    <col min="11014" max="11014" width="22.109375" style="6" customWidth="1"/>
    <col min="11015" max="11015" width="24.44140625" style="6" customWidth="1"/>
    <col min="11016" max="11016" width="7.109375" style="6" customWidth="1"/>
    <col min="11017" max="11264" width="9" style="6"/>
    <col min="11265" max="11265" width="1.33203125" style="6" customWidth="1"/>
    <col min="11266" max="11266" width="8.44140625" style="6" customWidth="1"/>
    <col min="11267" max="11267" width="14" style="6" customWidth="1"/>
    <col min="11268" max="11268" width="13.109375" style="6" customWidth="1"/>
    <col min="11269" max="11269" width="12.6640625" style="6" customWidth="1"/>
    <col min="11270" max="11270" width="22.109375" style="6" customWidth="1"/>
    <col min="11271" max="11271" width="24.44140625" style="6" customWidth="1"/>
    <col min="11272" max="11272" width="7.109375" style="6" customWidth="1"/>
    <col min="11273" max="11520" width="9" style="6"/>
    <col min="11521" max="11521" width="1.33203125" style="6" customWidth="1"/>
    <col min="11522" max="11522" width="8.44140625" style="6" customWidth="1"/>
    <col min="11523" max="11523" width="14" style="6" customWidth="1"/>
    <col min="11524" max="11524" width="13.109375" style="6" customWidth="1"/>
    <col min="11525" max="11525" width="12.6640625" style="6" customWidth="1"/>
    <col min="11526" max="11526" width="22.109375" style="6" customWidth="1"/>
    <col min="11527" max="11527" width="24.44140625" style="6" customWidth="1"/>
    <col min="11528" max="11528" width="7.109375" style="6" customWidth="1"/>
    <col min="11529" max="11776" width="9" style="6"/>
    <col min="11777" max="11777" width="1.33203125" style="6" customWidth="1"/>
    <col min="11778" max="11778" width="8.44140625" style="6" customWidth="1"/>
    <col min="11779" max="11779" width="14" style="6" customWidth="1"/>
    <col min="11780" max="11780" width="13.109375" style="6" customWidth="1"/>
    <col min="11781" max="11781" width="12.6640625" style="6" customWidth="1"/>
    <col min="11782" max="11782" width="22.109375" style="6" customWidth="1"/>
    <col min="11783" max="11783" width="24.44140625" style="6" customWidth="1"/>
    <col min="11784" max="11784" width="7.109375" style="6" customWidth="1"/>
    <col min="11785" max="12032" width="9" style="6"/>
    <col min="12033" max="12033" width="1.33203125" style="6" customWidth="1"/>
    <col min="12034" max="12034" width="8.44140625" style="6" customWidth="1"/>
    <col min="12035" max="12035" width="14" style="6" customWidth="1"/>
    <col min="12036" max="12036" width="13.109375" style="6" customWidth="1"/>
    <col min="12037" max="12037" width="12.6640625" style="6" customWidth="1"/>
    <col min="12038" max="12038" width="22.109375" style="6" customWidth="1"/>
    <col min="12039" max="12039" width="24.44140625" style="6" customWidth="1"/>
    <col min="12040" max="12040" width="7.109375" style="6" customWidth="1"/>
    <col min="12041" max="12288" width="9" style="6"/>
    <col min="12289" max="12289" width="1.33203125" style="6" customWidth="1"/>
    <col min="12290" max="12290" width="8.44140625" style="6" customWidth="1"/>
    <col min="12291" max="12291" width="14" style="6" customWidth="1"/>
    <col min="12292" max="12292" width="13.109375" style="6" customWidth="1"/>
    <col min="12293" max="12293" width="12.6640625" style="6" customWidth="1"/>
    <col min="12294" max="12294" width="22.109375" style="6" customWidth="1"/>
    <col min="12295" max="12295" width="24.44140625" style="6" customWidth="1"/>
    <col min="12296" max="12296" width="7.109375" style="6" customWidth="1"/>
    <col min="12297" max="12544" width="9" style="6"/>
    <col min="12545" max="12545" width="1.33203125" style="6" customWidth="1"/>
    <col min="12546" max="12546" width="8.44140625" style="6" customWidth="1"/>
    <col min="12547" max="12547" width="14" style="6" customWidth="1"/>
    <col min="12548" max="12548" width="13.109375" style="6" customWidth="1"/>
    <col min="12549" max="12549" width="12.6640625" style="6" customWidth="1"/>
    <col min="12550" max="12550" width="22.109375" style="6" customWidth="1"/>
    <col min="12551" max="12551" width="24.44140625" style="6" customWidth="1"/>
    <col min="12552" max="12552" width="7.109375" style="6" customWidth="1"/>
    <col min="12553" max="12800" width="9" style="6"/>
    <col min="12801" max="12801" width="1.33203125" style="6" customWidth="1"/>
    <col min="12802" max="12802" width="8.44140625" style="6" customWidth="1"/>
    <col min="12803" max="12803" width="14" style="6" customWidth="1"/>
    <col min="12804" max="12804" width="13.109375" style="6" customWidth="1"/>
    <col min="12805" max="12805" width="12.6640625" style="6" customWidth="1"/>
    <col min="12806" max="12806" width="22.109375" style="6" customWidth="1"/>
    <col min="12807" max="12807" width="24.44140625" style="6" customWidth="1"/>
    <col min="12808" max="12808" width="7.109375" style="6" customWidth="1"/>
    <col min="12809" max="13056" width="9" style="6"/>
    <col min="13057" max="13057" width="1.33203125" style="6" customWidth="1"/>
    <col min="13058" max="13058" width="8.44140625" style="6" customWidth="1"/>
    <col min="13059" max="13059" width="14" style="6" customWidth="1"/>
    <col min="13060" max="13060" width="13.109375" style="6" customWidth="1"/>
    <col min="13061" max="13061" width="12.6640625" style="6" customWidth="1"/>
    <col min="13062" max="13062" width="22.109375" style="6" customWidth="1"/>
    <col min="13063" max="13063" width="24.44140625" style="6" customWidth="1"/>
    <col min="13064" max="13064" width="7.109375" style="6" customWidth="1"/>
    <col min="13065" max="13312" width="9" style="6"/>
    <col min="13313" max="13313" width="1.33203125" style="6" customWidth="1"/>
    <col min="13314" max="13314" width="8.44140625" style="6" customWidth="1"/>
    <col min="13315" max="13315" width="14" style="6" customWidth="1"/>
    <col min="13316" max="13316" width="13.109375" style="6" customWidth="1"/>
    <col min="13317" max="13317" width="12.6640625" style="6" customWidth="1"/>
    <col min="13318" max="13318" width="22.109375" style="6" customWidth="1"/>
    <col min="13319" max="13319" width="24.44140625" style="6" customWidth="1"/>
    <col min="13320" max="13320" width="7.109375" style="6" customWidth="1"/>
    <col min="13321" max="13568" width="9" style="6"/>
    <col min="13569" max="13569" width="1.33203125" style="6" customWidth="1"/>
    <col min="13570" max="13570" width="8.44140625" style="6" customWidth="1"/>
    <col min="13571" max="13571" width="14" style="6" customWidth="1"/>
    <col min="13572" max="13572" width="13.109375" style="6" customWidth="1"/>
    <col min="13573" max="13573" width="12.6640625" style="6" customWidth="1"/>
    <col min="13574" max="13574" width="22.109375" style="6" customWidth="1"/>
    <col min="13575" max="13575" width="24.44140625" style="6" customWidth="1"/>
    <col min="13576" max="13576" width="7.109375" style="6" customWidth="1"/>
    <col min="13577" max="13824" width="9" style="6"/>
    <col min="13825" max="13825" width="1.33203125" style="6" customWidth="1"/>
    <col min="13826" max="13826" width="8.44140625" style="6" customWidth="1"/>
    <col min="13827" max="13827" width="14" style="6" customWidth="1"/>
    <col min="13828" max="13828" width="13.109375" style="6" customWidth="1"/>
    <col min="13829" max="13829" width="12.6640625" style="6" customWidth="1"/>
    <col min="13830" max="13830" width="22.109375" style="6" customWidth="1"/>
    <col min="13831" max="13831" width="24.44140625" style="6" customWidth="1"/>
    <col min="13832" max="13832" width="7.109375" style="6" customWidth="1"/>
    <col min="13833" max="14080" width="9" style="6"/>
    <col min="14081" max="14081" width="1.33203125" style="6" customWidth="1"/>
    <col min="14082" max="14082" width="8.44140625" style="6" customWidth="1"/>
    <col min="14083" max="14083" width="14" style="6" customWidth="1"/>
    <col min="14084" max="14084" width="13.109375" style="6" customWidth="1"/>
    <col min="14085" max="14085" width="12.6640625" style="6" customWidth="1"/>
    <col min="14086" max="14086" width="22.109375" style="6" customWidth="1"/>
    <col min="14087" max="14087" width="24.44140625" style="6" customWidth="1"/>
    <col min="14088" max="14088" width="7.109375" style="6" customWidth="1"/>
    <col min="14089" max="14336" width="9" style="6"/>
    <col min="14337" max="14337" width="1.33203125" style="6" customWidth="1"/>
    <col min="14338" max="14338" width="8.44140625" style="6" customWidth="1"/>
    <col min="14339" max="14339" width="14" style="6" customWidth="1"/>
    <col min="14340" max="14340" width="13.109375" style="6" customWidth="1"/>
    <col min="14341" max="14341" width="12.6640625" style="6" customWidth="1"/>
    <col min="14342" max="14342" width="22.109375" style="6" customWidth="1"/>
    <col min="14343" max="14343" width="24.44140625" style="6" customWidth="1"/>
    <col min="14344" max="14344" width="7.109375" style="6" customWidth="1"/>
    <col min="14345" max="14592" width="9" style="6"/>
    <col min="14593" max="14593" width="1.33203125" style="6" customWidth="1"/>
    <col min="14594" max="14594" width="8.44140625" style="6" customWidth="1"/>
    <col min="14595" max="14595" width="14" style="6" customWidth="1"/>
    <col min="14596" max="14596" width="13.109375" style="6" customWidth="1"/>
    <col min="14597" max="14597" width="12.6640625" style="6" customWidth="1"/>
    <col min="14598" max="14598" width="22.109375" style="6" customWidth="1"/>
    <col min="14599" max="14599" width="24.44140625" style="6" customWidth="1"/>
    <col min="14600" max="14600" width="7.109375" style="6" customWidth="1"/>
    <col min="14601" max="14848" width="9" style="6"/>
    <col min="14849" max="14849" width="1.33203125" style="6" customWidth="1"/>
    <col min="14850" max="14850" width="8.44140625" style="6" customWidth="1"/>
    <col min="14851" max="14851" width="14" style="6" customWidth="1"/>
    <col min="14852" max="14852" width="13.109375" style="6" customWidth="1"/>
    <col min="14853" max="14853" width="12.6640625" style="6" customWidth="1"/>
    <col min="14854" max="14854" width="22.109375" style="6" customWidth="1"/>
    <col min="14855" max="14855" width="24.44140625" style="6" customWidth="1"/>
    <col min="14856" max="14856" width="7.109375" style="6" customWidth="1"/>
    <col min="14857" max="15104" width="9" style="6"/>
    <col min="15105" max="15105" width="1.33203125" style="6" customWidth="1"/>
    <col min="15106" max="15106" width="8.44140625" style="6" customWidth="1"/>
    <col min="15107" max="15107" width="14" style="6" customWidth="1"/>
    <col min="15108" max="15108" width="13.109375" style="6" customWidth="1"/>
    <col min="15109" max="15109" width="12.6640625" style="6" customWidth="1"/>
    <col min="15110" max="15110" width="22.109375" style="6" customWidth="1"/>
    <col min="15111" max="15111" width="24.44140625" style="6" customWidth="1"/>
    <col min="15112" max="15112" width="7.109375" style="6" customWidth="1"/>
    <col min="15113" max="15360" width="9" style="6"/>
    <col min="15361" max="15361" width="1.33203125" style="6" customWidth="1"/>
    <col min="15362" max="15362" width="8.44140625" style="6" customWidth="1"/>
    <col min="15363" max="15363" width="14" style="6" customWidth="1"/>
    <col min="15364" max="15364" width="13.109375" style="6" customWidth="1"/>
    <col min="15365" max="15365" width="12.6640625" style="6" customWidth="1"/>
    <col min="15366" max="15366" width="22.109375" style="6" customWidth="1"/>
    <col min="15367" max="15367" width="24.44140625" style="6" customWidth="1"/>
    <col min="15368" max="15368" width="7.109375" style="6" customWidth="1"/>
    <col min="15369" max="15616" width="9" style="6"/>
    <col min="15617" max="15617" width="1.33203125" style="6" customWidth="1"/>
    <col min="15618" max="15618" width="8.44140625" style="6" customWidth="1"/>
    <col min="15619" max="15619" width="14" style="6" customWidth="1"/>
    <col min="15620" max="15620" width="13.109375" style="6" customWidth="1"/>
    <col min="15621" max="15621" width="12.6640625" style="6" customWidth="1"/>
    <col min="15622" max="15622" width="22.109375" style="6" customWidth="1"/>
    <col min="15623" max="15623" width="24.44140625" style="6" customWidth="1"/>
    <col min="15624" max="15624" width="7.109375" style="6" customWidth="1"/>
    <col min="15625" max="15872" width="9" style="6"/>
    <col min="15873" max="15873" width="1.33203125" style="6" customWidth="1"/>
    <col min="15874" max="15874" width="8.44140625" style="6" customWidth="1"/>
    <col min="15875" max="15875" width="14" style="6" customWidth="1"/>
    <col min="15876" max="15876" width="13.109375" style="6" customWidth="1"/>
    <col min="15877" max="15877" width="12.6640625" style="6" customWidth="1"/>
    <col min="15878" max="15878" width="22.109375" style="6" customWidth="1"/>
    <col min="15879" max="15879" width="24.44140625" style="6" customWidth="1"/>
    <col min="15880" max="15880" width="7.109375" style="6" customWidth="1"/>
    <col min="15881" max="16128" width="9" style="6"/>
    <col min="16129" max="16129" width="1.33203125" style="6" customWidth="1"/>
    <col min="16130" max="16130" width="8.44140625" style="6" customWidth="1"/>
    <col min="16131" max="16131" width="14" style="6" customWidth="1"/>
    <col min="16132" max="16132" width="13.109375" style="6" customWidth="1"/>
    <col min="16133" max="16133" width="12.6640625" style="6" customWidth="1"/>
    <col min="16134" max="16134" width="22.109375" style="6" customWidth="1"/>
    <col min="16135" max="16135" width="24.44140625" style="6" customWidth="1"/>
    <col min="16136" max="16136" width="7.109375" style="6" customWidth="1"/>
    <col min="16137" max="16384" width="9" style="6"/>
  </cols>
  <sheetData>
    <row r="1" spans="2:8" ht="27" customHeight="1" thickTop="1">
      <c r="B1" s="205"/>
      <c r="C1" s="206"/>
      <c r="D1" s="206"/>
      <c r="E1" s="207"/>
      <c r="F1" s="207"/>
      <c r="G1" s="207"/>
      <c r="H1" s="208"/>
    </row>
    <row r="2" spans="2:8" ht="27" customHeight="1" thickBot="1">
      <c r="B2" s="209"/>
      <c r="C2" s="210"/>
      <c r="D2" s="210"/>
      <c r="E2" s="210"/>
      <c r="F2" s="210"/>
      <c r="G2" s="210"/>
      <c r="H2" s="211"/>
    </row>
    <row r="3" spans="2:8" ht="16.2" thickTop="1">
      <c r="B3" s="14"/>
      <c r="C3" s="9"/>
      <c r="D3" s="9"/>
      <c r="E3" s="15"/>
      <c r="F3" s="16"/>
      <c r="G3" s="17"/>
      <c r="H3" s="17"/>
    </row>
    <row r="4" spans="2:8" ht="17.399999999999999">
      <c r="B4" s="18" t="s">
        <v>6</v>
      </c>
      <c r="C4" s="18"/>
      <c r="D4" s="19"/>
      <c r="E4" s="7"/>
      <c r="F4" s="7"/>
      <c r="G4" s="7"/>
    </row>
    <row r="5" spans="2:8">
      <c r="B5" s="183" t="s">
        <v>7</v>
      </c>
      <c r="C5" s="184"/>
      <c r="D5" s="185"/>
      <c r="E5" s="186"/>
      <c r="F5" s="8" t="s">
        <v>8</v>
      </c>
      <c r="G5" s="187"/>
      <c r="H5" s="188"/>
    </row>
    <row r="6" spans="2:8">
      <c r="B6" s="183" t="s">
        <v>9</v>
      </c>
      <c r="C6" s="184"/>
      <c r="D6" s="185" t="s">
        <v>238</v>
      </c>
      <c r="E6" s="189"/>
      <c r="F6" s="8" t="s">
        <v>36</v>
      </c>
      <c r="G6" s="190" t="s">
        <v>484</v>
      </c>
      <c r="H6" s="191"/>
    </row>
    <row r="7" spans="2:8">
      <c r="B7" s="183" t="s">
        <v>10</v>
      </c>
      <c r="C7" s="184"/>
      <c r="D7" s="185"/>
      <c r="E7" s="189"/>
      <c r="F7" s="8" t="s">
        <v>11</v>
      </c>
      <c r="G7" s="214" t="s">
        <v>485</v>
      </c>
      <c r="H7" s="215"/>
    </row>
    <row r="8" spans="2:8">
      <c r="B8" s="183" t="s">
        <v>12</v>
      </c>
      <c r="C8" s="184"/>
      <c r="D8" s="185" t="s">
        <v>47</v>
      </c>
      <c r="E8" s="189"/>
      <c r="F8" s="8" t="s">
        <v>13</v>
      </c>
      <c r="G8" s="181"/>
      <c r="H8" s="182"/>
    </row>
    <row r="9" spans="2:8">
      <c r="B9" s="212" t="s">
        <v>14</v>
      </c>
      <c r="C9" s="213"/>
      <c r="D9" s="185"/>
      <c r="E9" s="189"/>
      <c r="F9" s="8" t="s">
        <v>15</v>
      </c>
      <c r="G9" s="214"/>
      <c r="H9" s="215"/>
    </row>
    <row r="10" spans="2:8">
      <c r="C10" s="9"/>
      <c r="D10" s="216"/>
      <c r="E10" s="216"/>
      <c r="F10" s="9"/>
      <c r="G10" s="10"/>
      <c r="H10" s="11"/>
    </row>
    <row r="11" spans="2:8" ht="17.399999999999999">
      <c r="B11" s="12" t="s">
        <v>16</v>
      </c>
      <c r="C11" s="12"/>
    </row>
    <row r="12" spans="2:8" ht="24">
      <c r="B12" s="20" t="s">
        <v>17</v>
      </c>
      <c r="C12" s="21" t="s">
        <v>18</v>
      </c>
      <c r="D12" s="20" t="s">
        <v>19</v>
      </c>
      <c r="E12" s="20" t="s">
        <v>20</v>
      </c>
      <c r="F12" s="217" t="s">
        <v>21</v>
      </c>
      <c r="G12" s="218"/>
      <c r="H12" s="219"/>
    </row>
    <row r="13" spans="2:8">
      <c r="B13" s="37" t="s">
        <v>22</v>
      </c>
      <c r="C13" s="38" t="s">
        <v>430</v>
      </c>
      <c r="D13" s="39" t="s">
        <v>48</v>
      </c>
      <c r="E13" s="39"/>
      <c r="F13" s="192" t="s">
        <v>49</v>
      </c>
      <c r="G13" s="193"/>
      <c r="H13" s="194"/>
    </row>
    <row r="14" spans="2:8" ht="57" customHeight="1">
      <c r="B14" s="22" t="s">
        <v>457</v>
      </c>
      <c r="C14" s="38" t="s">
        <v>459</v>
      </c>
      <c r="D14" s="39" t="s">
        <v>458</v>
      </c>
      <c r="E14" s="24"/>
      <c r="F14" s="195" t="s">
        <v>470</v>
      </c>
      <c r="G14" s="196"/>
      <c r="H14" s="197"/>
    </row>
    <row r="15" spans="2:8" s="13" customFormat="1" ht="45" customHeight="1">
      <c r="B15" s="22" t="s">
        <v>471</v>
      </c>
      <c r="C15" s="38" t="s">
        <v>473</v>
      </c>
      <c r="D15" s="39" t="s">
        <v>472</v>
      </c>
      <c r="E15" s="24"/>
      <c r="F15" s="198" t="s">
        <v>480</v>
      </c>
      <c r="G15" s="199"/>
      <c r="H15" s="200"/>
    </row>
    <row r="16" spans="2:8" ht="12" customHeight="1">
      <c r="B16" s="22" t="s">
        <v>484</v>
      </c>
      <c r="C16" s="38" t="s">
        <v>486</v>
      </c>
      <c r="D16" s="39" t="s">
        <v>458</v>
      </c>
      <c r="E16" s="46"/>
      <c r="F16" s="254" t="s">
        <v>487</v>
      </c>
      <c r="G16" s="202"/>
      <c r="H16" s="203"/>
    </row>
    <row r="17" spans="2:8" ht="12" customHeight="1">
      <c r="B17" s="37"/>
      <c r="C17" s="45"/>
      <c r="D17" s="39"/>
      <c r="E17" s="46"/>
      <c r="F17" s="201"/>
      <c r="G17" s="202"/>
      <c r="H17" s="203"/>
    </row>
    <row r="18" spans="2:8" ht="12" customHeight="1">
      <c r="B18" s="22"/>
      <c r="C18" s="45"/>
      <c r="D18" s="39"/>
      <c r="E18" s="24"/>
      <c r="F18" s="185"/>
      <c r="G18" s="204"/>
      <c r="H18" s="189"/>
    </row>
    <row r="19" spans="2:8" ht="12" customHeight="1">
      <c r="B19" s="22"/>
      <c r="C19" s="45"/>
      <c r="D19" s="39"/>
      <c r="E19" s="24"/>
      <c r="F19" s="185"/>
      <c r="G19" s="204"/>
      <c r="H19" s="189"/>
    </row>
    <row r="20" spans="2:8" ht="12" customHeight="1">
      <c r="B20" s="22"/>
      <c r="C20" s="45"/>
      <c r="D20" s="39"/>
      <c r="E20" s="24"/>
      <c r="F20" s="185"/>
      <c r="G20" s="204"/>
      <c r="H20" s="189"/>
    </row>
    <row r="21" spans="2:8" ht="12" customHeight="1">
      <c r="B21" s="22"/>
      <c r="C21" s="45"/>
      <c r="D21" s="39"/>
      <c r="E21" s="24"/>
      <c r="F21" s="185"/>
      <c r="G21" s="204"/>
      <c r="H21" s="189"/>
    </row>
    <row r="22" spans="2:8" ht="12" customHeight="1">
      <c r="B22" s="22"/>
      <c r="C22" s="45"/>
      <c r="D22" s="39"/>
      <c r="E22" s="24"/>
      <c r="F22" s="185"/>
      <c r="G22" s="204"/>
      <c r="H22" s="189"/>
    </row>
    <row r="23" spans="2:8" ht="12" customHeight="1">
      <c r="B23" s="37"/>
      <c r="C23" s="45"/>
      <c r="D23" s="39"/>
      <c r="E23" s="46"/>
      <c r="F23" s="192"/>
      <c r="G23" s="193"/>
      <c r="H23" s="194"/>
    </row>
    <row r="24" spans="2:8" ht="12" customHeight="1">
      <c r="B24" s="37"/>
      <c r="C24" s="45"/>
      <c r="D24" s="39"/>
      <c r="E24" s="46"/>
      <c r="F24" s="192"/>
      <c r="G24" s="193"/>
      <c r="H24" s="194"/>
    </row>
    <row r="25" spans="2:8" ht="12" customHeight="1">
      <c r="B25" s="37"/>
      <c r="C25" s="45"/>
      <c r="D25" s="39"/>
      <c r="E25" s="46"/>
      <c r="F25" s="192"/>
      <c r="G25" s="193"/>
      <c r="H25" s="194"/>
    </row>
    <row r="26" spans="2:8" ht="12" customHeight="1">
      <c r="B26" s="37"/>
      <c r="C26" s="45"/>
      <c r="D26" s="39"/>
      <c r="E26" s="46"/>
      <c r="F26" s="192"/>
      <c r="G26" s="193"/>
      <c r="H26" s="194"/>
    </row>
    <row r="27" spans="2:8" ht="12" customHeight="1">
      <c r="B27" s="22"/>
      <c r="C27" s="23"/>
      <c r="D27" s="24"/>
      <c r="E27" s="24"/>
      <c r="F27" s="185"/>
      <c r="G27" s="204"/>
      <c r="H27" s="189"/>
    </row>
    <row r="28" spans="2:8" ht="12" customHeight="1">
      <c r="B28" s="22"/>
      <c r="C28" s="23"/>
      <c r="D28" s="24"/>
      <c r="E28" s="24"/>
      <c r="F28" s="185"/>
      <c r="G28" s="204"/>
      <c r="H28" s="189"/>
    </row>
    <row r="29" spans="2:8" ht="12" customHeight="1">
      <c r="B29" s="22"/>
      <c r="C29" s="23"/>
      <c r="D29" s="24"/>
      <c r="E29" s="24"/>
      <c r="F29" s="185"/>
      <c r="G29" s="204"/>
      <c r="H29" s="189"/>
    </row>
    <row r="30" spans="2:8">
      <c r="B30" s="22"/>
      <c r="C30" s="23"/>
      <c r="D30" s="24"/>
      <c r="E30" s="24"/>
      <c r="F30" s="185"/>
      <c r="G30" s="204"/>
      <c r="H30" s="189"/>
    </row>
  </sheetData>
  <mergeCells count="36">
    <mergeCell ref="F27:H27"/>
    <mergeCell ref="F28:H28"/>
    <mergeCell ref="F29:H29"/>
    <mergeCell ref="F30:H30"/>
    <mergeCell ref="F26:H26"/>
    <mergeCell ref="B1:H2"/>
    <mergeCell ref="F20:H20"/>
    <mergeCell ref="F21:H21"/>
    <mergeCell ref="F22:H22"/>
    <mergeCell ref="F23:H23"/>
    <mergeCell ref="B9:C9"/>
    <mergeCell ref="D9:E9"/>
    <mergeCell ref="G9:H9"/>
    <mergeCell ref="D10:E10"/>
    <mergeCell ref="F12:H12"/>
    <mergeCell ref="F13:H13"/>
    <mergeCell ref="B7:C7"/>
    <mergeCell ref="D7:E7"/>
    <mergeCell ref="G7:H7"/>
    <mergeCell ref="B8:C8"/>
    <mergeCell ref="D8:E8"/>
    <mergeCell ref="F24:H24"/>
    <mergeCell ref="F25:H25"/>
    <mergeCell ref="F14:H14"/>
    <mergeCell ref="F15:H15"/>
    <mergeCell ref="F16:H16"/>
    <mergeCell ref="F17:H17"/>
    <mergeCell ref="F18:H18"/>
    <mergeCell ref="F19:H19"/>
    <mergeCell ref="G8:H8"/>
    <mergeCell ref="B5:C5"/>
    <mergeCell ref="D5:E5"/>
    <mergeCell ref="G5:H5"/>
    <mergeCell ref="B6:C6"/>
    <mergeCell ref="D6:E6"/>
    <mergeCell ref="G6:H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31"/>
  <sheetViews>
    <sheetView topLeftCell="A4" zoomScaleNormal="100" workbookViewId="0">
      <selection activeCell="D18" sqref="D18"/>
    </sheetView>
  </sheetViews>
  <sheetFormatPr defaultColWidth="8.88671875" defaultRowHeight="15.6"/>
  <cols>
    <col min="1" max="1" width="2.88671875" style="5" customWidth="1"/>
    <col min="2" max="2" width="8.88671875" style="5"/>
    <col min="3" max="3" width="11.6640625" style="5" customWidth="1"/>
    <col min="4" max="4" width="32.21875" style="5" customWidth="1"/>
    <col min="5" max="5" width="21.33203125" style="5" customWidth="1"/>
    <col min="6" max="6" width="21.44140625" style="5" customWidth="1"/>
    <col min="7" max="7" width="22.77734375" style="5" customWidth="1"/>
    <col min="8" max="8" width="23.88671875" style="5" customWidth="1"/>
    <col min="9" max="9" width="6.33203125" style="52" bestFit="1" customWidth="1"/>
    <col min="10" max="10" width="7.44140625" style="5" bestFit="1" customWidth="1"/>
    <col min="11" max="11" width="35.33203125" style="5" customWidth="1"/>
    <col min="12" max="12" width="44.6640625" style="5" bestFit="1" customWidth="1"/>
    <col min="13" max="16384" width="8.88671875" style="5"/>
  </cols>
  <sheetData>
    <row r="1" spans="2:9">
      <c r="D1" s="73" t="s">
        <v>62</v>
      </c>
      <c r="E1" s="74" t="s">
        <v>58</v>
      </c>
      <c r="F1" s="74" t="s">
        <v>59</v>
      </c>
      <c r="G1" s="75" t="s">
        <v>65</v>
      </c>
    </row>
    <row r="2" spans="2:9">
      <c r="D2" s="65" t="s">
        <v>63</v>
      </c>
      <c r="E2" s="70" t="s">
        <v>60</v>
      </c>
      <c r="F2" s="70">
        <v>5672</v>
      </c>
      <c r="G2" s="67" t="s">
        <v>61</v>
      </c>
    </row>
    <row r="3" spans="2:9" ht="16.2" thickBot="1">
      <c r="D3" s="68" t="s">
        <v>64</v>
      </c>
      <c r="E3" s="71" t="s">
        <v>60</v>
      </c>
      <c r="F3" s="71">
        <v>5672</v>
      </c>
      <c r="G3" s="69" t="s">
        <v>61</v>
      </c>
    </row>
    <row r="4" spans="2:9">
      <c r="D4" s="48"/>
      <c r="E4" s="48"/>
      <c r="F4" s="48"/>
      <c r="G4" s="72"/>
    </row>
    <row r="5" spans="2:9" ht="16.2" thickBot="1">
      <c r="D5" s="48"/>
      <c r="E5" s="48"/>
      <c r="F5" s="48"/>
      <c r="G5" s="48"/>
    </row>
    <row r="6" spans="2:9" ht="16.2" thickBot="1">
      <c r="D6" s="76" t="s">
        <v>57</v>
      </c>
      <c r="E6" s="77" t="s">
        <v>56</v>
      </c>
    </row>
    <row r="7" spans="2:9" ht="16.2" thickBot="1"/>
    <row r="8" spans="2:9" ht="16.2" thickBot="1">
      <c r="B8" s="118" t="s">
        <v>53</v>
      </c>
      <c r="C8" s="119" t="s">
        <v>54</v>
      </c>
      <c r="D8" s="119" t="s">
        <v>55</v>
      </c>
      <c r="E8" s="119" t="s">
        <v>70</v>
      </c>
      <c r="F8" s="119" t="s">
        <v>66</v>
      </c>
      <c r="G8" s="119" t="s">
        <v>69</v>
      </c>
      <c r="H8" s="120" t="s">
        <v>67</v>
      </c>
      <c r="I8" s="121" t="s">
        <v>68</v>
      </c>
    </row>
    <row r="9" spans="2:9">
      <c r="B9" s="220" t="s">
        <v>239</v>
      </c>
      <c r="C9" s="223" t="s">
        <v>460</v>
      </c>
      <c r="D9" s="154" t="s">
        <v>123</v>
      </c>
      <c r="E9" s="146" t="s">
        <v>447</v>
      </c>
      <c r="F9" s="146" t="s">
        <v>447</v>
      </c>
      <c r="G9" s="146" t="s">
        <v>448</v>
      </c>
      <c r="H9" s="146" t="s">
        <v>448</v>
      </c>
      <c r="I9" s="147">
        <v>1</v>
      </c>
    </row>
    <row r="10" spans="2:9" ht="15.6" customHeight="1">
      <c r="B10" s="221"/>
      <c r="C10" s="224"/>
      <c r="D10" s="155" t="s">
        <v>122</v>
      </c>
      <c r="E10" s="148" t="s">
        <v>447</v>
      </c>
      <c r="F10" s="148" t="s">
        <v>447</v>
      </c>
      <c r="G10" s="148" t="s">
        <v>448</v>
      </c>
      <c r="H10" s="148" t="s">
        <v>448</v>
      </c>
      <c r="I10" s="149">
        <v>1</v>
      </c>
    </row>
    <row r="11" spans="2:9" ht="15.6" customHeight="1" thickBot="1">
      <c r="B11" s="221"/>
      <c r="C11" s="224"/>
      <c r="D11" s="156" t="s">
        <v>124</v>
      </c>
      <c r="E11" s="150" t="s">
        <v>447</v>
      </c>
      <c r="F11" s="150" t="s">
        <v>447</v>
      </c>
      <c r="G11" s="150" t="s">
        <v>448</v>
      </c>
      <c r="H11" s="150" t="s">
        <v>448</v>
      </c>
      <c r="I11" s="151">
        <v>1</v>
      </c>
    </row>
    <row r="12" spans="2:9" ht="15.6" customHeight="1">
      <c r="B12" s="221"/>
      <c r="C12" s="224"/>
      <c r="D12" s="157" t="s">
        <v>125</v>
      </c>
      <c r="E12" s="146" t="s">
        <v>449</v>
      </c>
      <c r="F12" s="146" t="s">
        <v>449</v>
      </c>
      <c r="G12" s="146" t="s">
        <v>450</v>
      </c>
      <c r="H12" s="146" t="s">
        <v>450</v>
      </c>
      <c r="I12" s="147">
        <v>1</v>
      </c>
    </row>
    <row r="13" spans="2:9" ht="15.6" customHeight="1">
      <c r="B13" s="221"/>
      <c r="C13" s="224"/>
      <c r="D13" s="158" t="s">
        <v>293</v>
      </c>
      <c r="E13" s="148" t="s">
        <v>449</v>
      </c>
      <c r="F13" s="148" t="s">
        <v>449</v>
      </c>
      <c r="G13" s="148" t="s">
        <v>450</v>
      </c>
      <c r="H13" s="148" t="s">
        <v>450</v>
      </c>
      <c r="I13" s="149">
        <v>1</v>
      </c>
    </row>
    <row r="14" spans="2:9" ht="15.6" customHeight="1">
      <c r="B14" s="221"/>
      <c r="C14" s="224"/>
      <c r="D14" s="158" t="s">
        <v>320</v>
      </c>
      <c r="E14" s="148" t="s">
        <v>449</v>
      </c>
      <c r="F14" s="148" t="s">
        <v>449</v>
      </c>
      <c r="G14" s="148" t="s">
        <v>450</v>
      </c>
      <c r="H14" s="148" t="s">
        <v>450</v>
      </c>
      <c r="I14" s="149">
        <v>1</v>
      </c>
    </row>
    <row r="15" spans="2:9" ht="15.6" customHeight="1">
      <c r="B15" s="221"/>
      <c r="C15" s="224"/>
      <c r="D15" s="158" t="s">
        <v>376</v>
      </c>
      <c r="E15" s="148" t="s">
        <v>449</v>
      </c>
      <c r="F15" s="148" t="s">
        <v>449</v>
      </c>
      <c r="G15" s="148" t="s">
        <v>450</v>
      </c>
      <c r="H15" s="148" t="s">
        <v>450</v>
      </c>
      <c r="I15" s="149">
        <v>1</v>
      </c>
    </row>
    <row r="16" spans="2:9" ht="15.6" customHeight="1" thickBot="1">
      <c r="B16" s="221"/>
      <c r="C16" s="224"/>
      <c r="D16" s="164" t="s">
        <v>276</v>
      </c>
      <c r="E16" s="152" t="s">
        <v>449</v>
      </c>
      <c r="F16" s="152" t="s">
        <v>449</v>
      </c>
      <c r="G16" s="152" t="s">
        <v>450</v>
      </c>
      <c r="H16" s="152" t="s">
        <v>450</v>
      </c>
      <c r="I16" s="153">
        <v>1</v>
      </c>
    </row>
    <row r="17" spans="2:9" ht="15.6" customHeight="1">
      <c r="B17" s="221"/>
      <c r="C17" s="224"/>
      <c r="D17" s="154" t="s">
        <v>252</v>
      </c>
      <c r="E17" s="146" t="s">
        <v>451</v>
      </c>
      <c r="F17" s="146" t="s">
        <v>451</v>
      </c>
      <c r="G17" s="146" t="s">
        <v>452</v>
      </c>
      <c r="H17" s="146" t="s">
        <v>452</v>
      </c>
      <c r="I17" s="147">
        <v>1</v>
      </c>
    </row>
    <row r="18" spans="2:9" ht="15.6" customHeight="1">
      <c r="B18" s="221"/>
      <c r="C18" s="224"/>
      <c r="D18" s="155" t="s">
        <v>445</v>
      </c>
      <c r="E18" s="148" t="s">
        <v>451</v>
      </c>
      <c r="F18" s="148" t="s">
        <v>451</v>
      </c>
      <c r="G18" s="148" t="s">
        <v>452</v>
      </c>
      <c r="H18" s="148" t="s">
        <v>452</v>
      </c>
      <c r="I18" s="149">
        <v>1</v>
      </c>
    </row>
    <row r="19" spans="2:9" ht="16.2" customHeight="1" thickBot="1">
      <c r="B19" s="221"/>
      <c r="C19" s="224"/>
      <c r="D19" s="160" t="s">
        <v>368</v>
      </c>
      <c r="E19" s="150" t="s">
        <v>451</v>
      </c>
      <c r="F19" s="150" t="s">
        <v>451</v>
      </c>
      <c r="G19" s="150" t="s">
        <v>452</v>
      </c>
      <c r="H19" s="150" t="s">
        <v>452</v>
      </c>
      <c r="I19" s="151">
        <v>1</v>
      </c>
    </row>
    <row r="20" spans="2:9" ht="16.8" customHeight="1">
      <c r="B20" s="221"/>
      <c r="C20" s="224"/>
      <c r="D20" s="165" t="s">
        <v>290</v>
      </c>
      <c r="E20" s="166" t="s">
        <v>453</v>
      </c>
      <c r="F20" s="166" t="s">
        <v>453</v>
      </c>
      <c r="G20" s="166" t="s">
        <v>454</v>
      </c>
      <c r="H20" s="166" t="s">
        <v>454</v>
      </c>
      <c r="I20" s="167">
        <v>1</v>
      </c>
    </row>
    <row r="21" spans="2:9" ht="16.8" customHeight="1">
      <c r="B21" s="221"/>
      <c r="C21" s="224"/>
      <c r="D21" s="158" t="s">
        <v>291</v>
      </c>
      <c r="E21" s="148" t="s">
        <v>453</v>
      </c>
      <c r="F21" s="148" t="s">
        <v>453</v>
      </c>
      <c r="G21" s="148" t="s">
        <v>454</v>
      </c>
      <c r="H21" s="148" t="s">
        <v>454</v>
      </c>
      <c r="I21" s="149">
        <v>1</v>
      </c>
    </row>
    <row r="22" spans="2:9" ht="16.8" customHeight="1">
      <c r="B22" s="221"/>
      <c r="C22" s="224"/>
      <c r="D22" s="158" t="s">
        <v>314</v>
      </c>
      <c r="E22" s="148" t="s">
        <v>453</v>
      </c>
      <c r="F22" s="148" t="s">
        <v>453</v>
      </c>
      <c r="G22" s="148" t="s">
        <v>454</v>
      </c>
      <c r="H22" s="148" t="s">
        <v>454</v>
      </c>
      <c r="I22" s="149">
        <v>1</v>
      </c>
    </row>
    <row r="23" spans="2:9" ht="16.8" customHeight="1">
      <c r="B23" s="221"/>
      <c r="C23" s="224"/>
      <c r="D23" s="158" t="s">
        <v>315</v>
      </c>
      <c r="E23" s="148" t="s">
        <v>453</v>
      </c>
      <c r="F23" s="148" t="s">
        <v>453</v>
      </c>
      <c r="G23" s="148" t="s">
        <v>454</v>
      </c>
      <c r="H23" s="148" t="s">
        <v>454</v>
      </c>
      <c r="I23" s="149">
        <v>1</v>
      </c>
    </row>
    <row r="24" spans="2:9" ht="16.8" customHeight="1">
      <c r="B24" s="221"/>
      <c r="C24" s="224"/>
      <c r="D24" s="155" t="s">
        <v>321</v>
      </c>
      <c r="E24" s="148" t="s">
        <v>453</v>
      </c>
      <c r="F24" s="148" t="s">
        <v>453</v>
      </c>
      <c r="G24" s="148" t="s">
        <v>454</v>
      </c>
      <c r="H24" s="148" t="s">
        <v>454</v>
      </c>
      <c r="I24" s="149">
        <v>1</v>
      </c>
    </row>
    <row r="25" spans="2:9" ht="16.8" customHeight="1">
      <c r="B25" s="221"/>
      <c r="C25" s="224"/>
      <c r="D25" s="158" t="s">
        <v>322</v>
      </c>
      <c r="E25" s="148" t="s">
        <v>453</v>
      </c>
      <c r="F25" s="148" t="s">
        <v>453</v>
      </c>
      <c r="G25" s="148" t="s">
        <v>454</v>
      </c>
      <c r="H25" s="148" t="s">
        <v>454</v>
      </c>
      <c r="I25" s="149">
        <v>1</v>
      </c>
    </row>
    <row r="26" spans="2:9" ht="16.8" customHeight="1">
      <c r="B26" s="221"/>
      <c r="C26" s="224"/>
      <c r="D26" s="155" t="s">
        <v>323</v>
      </c>
      <c r="E26" s="148" t="s">
        <v>453</v>
      </c>
      <c r="F26" s="148" t="s">
        <v>453</v>
      </c>
      <c r="G26" s="148" t="s">
        <v>454</v>
      </c>
      <c r="H26" s="148" t="s">
        <v>454</v>
      </c>
      <c r="I26" s="149">
        <v>1</v>
      </c>
    </row>
    <row r="27" spans="2:9" ht="16.8" customHeight="1" thickBot="1">
      <c r="B27" s="221"/>
      <c r="C27" s="224"/>
      <c r="D27" s="161" t="s">
        <v>141</v>
      </c>
      <c r="E27" s="152" t="s">
        <v>453</v>
      </c>
      <c r="F27" s="152" t="s">
        <v>453</v>
      </c>
      <c r="G27" s="152" t="s">
        <v>454</v>
      </c>
      <c r="H27" s="152" t="s">
        <v>454</v>
      </c>
      <c r="I27" s="153">
        <v>1</v>
      </c>
    </row>
    <row r="28" spans="2:9" ht="16.8" customHeight="1">
      <c r="B28" s="221"/>
      <c r="C28" s="224"/>
      <c r="D28" s="162" t="s">
        <v>292</v>
      </c>
      <c r="E28" s="146" t="s">
        <v>455</v>
      </c>
      <c r="F28" s="146" t="s">
        <v>455</v>
      </c>
      <c r="G28" s="146" t="s">
        <v>456</v>
      </c>
      <c r="H28" s="146" t="s">
        <v>456</v>
      </c>
      <c r="I28" s="147">
        <v>1</v>
      </c>
    </row>
    <row r="29" spans="2:9" ht="16.8" customHeight="1">
      <c r="B29" s="221"/>
      <c r="C29" s="224"/>
      <c r="D29" s="163" t="s">
        <v>140</v>
      </c>
      <c r="E29" s="148" t="s">
        <v>455</v>
      </c>
      <c r="F29" s="148" t="s">
        <v>455</v>
      </c>
      <c r="G29" s="148" t="s">
        <v>456</v>
      </c>
      <c r="H29" s="148" t="s">
        <v>456</v>
      </c>
      <c r="I29" s="149">
        <v>1</v>
      </c>
    </row>
    <row r="30" spans="2:9" ht="16.8" customHeight="1">
      <c r="B30" s="221"/>
      <c r="C30" s="224"/>
      <c r="D30" s="155" t="s">
        <v>324</v>
      </c>
      <c r="E30" s="148" t="s">
        <v>455</v>
      </c>
      <c r="F30" s="148" t="s">
        <v>455</v>
      </c>
      <c r="G30" s="148" t="s">
        <v>456</v>
      </c>
      <c r="H30" s="148" t="s">
        <v>456</v>
      </c>
      <c r="I30" s="149">
        <v>1</v>
      </c>
    </row>
    <row r="31" spans="2:9" ht="16.8" customHeight="1" thickBot="1">
      <c r="B31" s="222"/>
      <c r="C31" s="225"/>
      <c r="D31" s="159" t="s">
        <v>142</v>
      </c>
      <c r="E31" s="150" t="s">
        <v>455</v>
      </c>
      <c r="F31" s="150" t="s">
        <v>455</v>
      </c>
      <c r="G31" s="150" t="s">
        <v>456</v>
      </c>
      <c r="H31" s="150" t="s">
        <v>456</v>
      </c>
      <c r="I31" s="151">
        <v>1</v>
      </c>
    </row>
  </sheetData>
  <mergeCells count="2">
    <mergeCell ref="B9:B31"/>
    <mergeCell ref="C9:C3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B1:E7"/>
  <sheetViews>
    <sheetView showGridLines="0" zoomScale="115" zoomScaleNormal="115" workbookViewId="0">
      <selection activeCell="C10" sqref="C10"/>
    </sheetView>
  </sheetViews>
  <sheetFormatPr defaultColWidth="8.88671875" defaultRowHeight="13.2"/>
  <cols>
    <col min="1" max="1" width="5.5546875" style="42" customWidth="1"/>
    <col min="2" max="2" width="17.5546875" style="42" customWidth="1"/>
    <col min="3" max="3" width="89.109375" style="42" customWidth="1"/>
    <col min="4" max="4" width="13.33203125" style="42" bestFit="1" customWidth="1"/>
    <col min="5" max="5" width="22.6640625" style="42" bestFit="1" customWidth="1"/>
    <col min="6" max="6" width="5.88671875" style="42" customWidth="1"/>
    <col min="7" max="8" width="15.88671875" style="42" customWidth="1"/>
    <col min="9" max="9" width="33.44140625" style="42" bestFit="1" customWidth="1"/>
    <col min="10" max="10" width="26.88671875" style="42" bestFit="1" customWidth="1"/>
    <col min="11" max="16384" width="8.88671875" style="42"/>
  </cols>
  <sheetData>
    <row r="1" spans="2:5">
      <c r="B1" s="63" t="s">
        <v>465</v>
      </c>
      <c r="C1" s="168" t="s">
        <v>37</v>
      </c>
      <c r="D1" s="40" t="s">
        <v>38</v>
      </c>
      <c r="E1" s="41" t="s">
        <v>52</v>
      </c>
    </row>
    <row r="2" spans="2:5">
      <c r="B2" s="63" t="s">
        <v>466</v>
      </c>
      <c r="C2" s="168" t="s">
        <v>39</v>
      </c>
      <c r="D2" s="40" t="s">
        <v>40</v>
      </c>
      <c r="E2" s="43">
        <v>45252</v>
      </c>
    </row>
    <row r="3" spans="2:5" ht="214.2" customHeight="1">
      <c r="B3" s="64" t="s">
        <v>71</v>
      </c>
      <c r="C3" s="226" t="s">
        <v>467</v>
      </c>
      <c r="D3" s="227"/>
      <c r="E3" s="228"/>
    </row>
    <row r="4" spans="2:5" ht="99.6" customHeight="1">
      <c r="B4" s="64" t="s">
        <v>468</v>
      </c>
      <c r="C4" s="226" t="s">
        <v>469</v>
      </c>
      <c r="D4" s="227"/>
      <c r="E4" s="228"/>
    </row>
    <row r="5" spans="2:5" ht="13.8">
      <c r="B5" s="64" t="s">
        <v>78</v>
      </c>
      <c r="C5" s="229" t="s">
        <v>79</v>
      </c>
      <c r="D5" s="229"/>
      <c r="E5" s="229"/>
    </row>
    <row r="6" spans="2:5" ht="13.8">
      <c r="B6" s="64" t="s">
        <v>119</v>
      </c>
      <c r="C6" s="230" t="s">
        <v>80</v>
      </c>
      <c r="D6" s="229"/>
      <c r="E6" s="229"/>
    </row>
    <row r="7" spans="2:5" ht="13.8">
      <c r="B7" s="64" t="s">
        <v>120</v>
      </c>
      <c r="C7" s="230" t="s">
        <v>81</v>
      </c>
      <c r="D7" s="229"/>
      <c r="E7" s="229"/>
    </row>
  </sheetData>
  <mergeCells count="5">
    <mergeCell ref="C3:E3"/>
    <mergeCell ref="C4:E4"/>
    <mergeCell ref="C5:E5"/>
    <mergeCell ref="C6:E6"/>
    <mergeCell ref="C7:E7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18"/>
  <sheetViews>
    <sheetView showGridLines="0" workbookViewId="0">
      <selection activeCell="B13" sqref="B13:B14"/>
    </sheetView>
  </sheetViews>
  <sheetFormatPr defaultRowHeight="16.2"/>
  <cols>
    <col min="1" max="1" width="10.33203125" customWidth="1"/>
    <col min="2" max="2" width="22.77734375" customWidth="1"/>
    <col min="3" max="3" width="25.77734375" customWidth="1"/>
    <col min="4" max="4" width="22.33203125" customWidth="1"/>
    <col min="5" max="5" width="32.109375" customWidth="1"/>
  </cols>
  <sheetData>
    <row r="2" spans="2:5" ht="16.8" thickBot="1">
      <c r="B2" s="113" t="s">
        <v>181</v>
      </c>
    </row>
    <row r="3" spans="2:5" ht="16.8" thickBot="1">
      <c r="B3" s="233" t="s">
        <v>163</v>
      </c>
      <c r="C3" s="235" t="s">
        <v>164</v>
      </c>
      <c r="D3" s="236"/>
      <c r="E3" s="237"/>
    </row>
    <row r="4" spans="2:5" ht="16.8" thickBot="1">
      <c r="B4" s="234"/>
      <c r="C4" s="110" t="s">
        <v>165</v>
      </c>
      <c r="D4" s="110" t="s">
        <v>166</v>
      </c>
      <c r="E4" s="110" t="s">
        <v>167</v>
      </c>
    </row>
    <row r="5" spans="2:5">
      <c r="B5" s="231" t="s">
        <v>168</v>
      </c>
      <c r="C5" s="111" t="s">
        <v>169</v>
      </c>
      <c r="D5" s="111" t="s">
        <v>171</v>
      </c>
      <c r="E5" s="111" t="s">
        <v>172</v>
      </c>
    </row>
    <row r="6" spans="2:5" ht="16.8" thickBot="1">
      <c r="B6" s="232"/>
      <c r="C6" s="112" t="s">
        <v>170</v>
      </c>
      <c r="D6" s="112" t="s">
        <v>170</v>
      </c>
      <c r="E6" s="112" t="s">
        <v>173</v>
      </c>
    </row>
    <row r="7" spans="2:5">
      <c r="B7" s="231" t="s">
        <v>174</v>
      </c>
      <c r="C7" s="111" t="s">
        <v>169</v>
      </c>
      <c r="D7" s="111" t="s">
        <v>171</v>
      </c>
      <c r="E7" s="111" t="s">
        <v>172</v>
      </c>
    </row>
    <row r="8" spans="2:5" ht="16.8" thickBot="1">
      <c r="B8" s="232"/>
      <c r="C8" s="112" t="s">
        <v>175</v>
      </c>
      <c r="D8" s="112" t="s">
        <v>175</v>
      </c>
      <c r="E8" s="112" t="s">
        <v>176</v>
      </c>
    </row>
    <row r="9" spans="2:5">
      <c r="B9" s="231" t="s">
        <v>183</v>
      </c>
      <c r="C9" s="111" t="s">
        <v>169</v>
      </c>
      <c r="D9" s="111" t="s">
        <v>171</v>
      </c>
      <c r="E9" s="111" t="s">
        <v>172</v>
      </c>
    </row>
    <row r="10" spans="2:5" ht="16.8" thickBot="1">
      <c r="B10" s="232"/>
      <c r="C10" s="112" t="s">
        <v>187</v>
      </c>
      <c r="D10" s="112" t="s">
        <v>187</v>
      </c>
      <c r="E10" s="112" t="s">
        <v>188</v>
      </c>
    </row>
    <row r="11" spans="2:5" s="3" customFormat="1">
      <c r="B11" s="231" t="s">
        <v>184</v>
      </c>
      <c r="C11" s="111" t="s">
        <v>169</v>
      </c>
      <c r="D11" s="111" t="s">
        <v>171</v>
      </c>
      <c r="E11" s="111" t="s">
        <v>172</v>
      </c>
    </row>
    <row r="12" spans="2:5" s="3" customFormat="1" ht="16.8" thickBot="1">
      <c r="B12" s="232"/>
      <c r="C12" s="112" t="s">
        <v>185</v>
      </c>
      <c r="D12" s="112" t="s">
        <v>185</v>
      </c>
      <c r="E12" s="112" t="s">
        <v>186</v>
      </c>
    </row>
    <row r="13" spans="2:5" s="3" customFormat="1">
      <c r="B13" s="231" t="s">
        <v>190</v>
      </c>
      <c r="C13" s="111" t="s">
        <v>169</v>
      </c>
      <c r="D13" s="111" t="s">
        <v>171</v>
      </c>
      <c r="E13" s="111" t="s">
        <v>172</v>
      </c>
    </row>
    <row r="14" spans="2:5" s="3" customFormat="1" ht="16.8" thickBot="1">
      <c r="B14" s="232"/>
      <c r="C14" s="112" t="s">
        <v>191</v>
      </c>
      <c r="D14" s="112" t="s">
        <v>191</v>
      </c>
      <c r="E14" s="112" t="s">
        <v>192</v>
      </c>
    </row>
    <row r="15" spans="2:5">
      <c r="B15" s="231" t="s">
        <v>189</v>
      </c>
      <c r="C15" s="111" t="s">
        <v>169</v>
      </c>
      <c r="D15" s="111" t="s">
        <v>171</v>
      </c>
      <c r="E15" s="111" t="s">
        <v>172</v>
      </c>
    </row>
    <row r="16" spans="2:5" ht="16.8" thickBot="1">
      <c r="B16" s="232"/>
      <c r="C16" s="112" t="s">
        <v>175</v>
      </c>
      <c r="D16" s="112" t="s">
        <v>175</v>
      </c>
      <c r="E16" s="112" t="s">
        <v>177</v>
      </c>
    </row>
    <row r="17" spans="2:5">
      <c r="B17" s="231" t="s">
        <v>182</v>
      </c>
      <c r="C17" s="111" t="s">
        <v>178</v>
      </c>
      <c r="D17" s="231" t="s">
        <v>180</v>
      </c>
      <c r="E17" s="231" t="s">
        <v>180</v>
      </c>
    </row>
    <row r="18" spans="2:5" ht="16.8" thickBot="1">
      <c r="B18" s="232"/>
      <c r="C18" s="112" t="s">
        <v>179</v>
      </c>
      <c r="D18" s="232"/>
      <c r="E18" s="232"/>
    </row>
  </sheetData>
  <mergeCells count="11">
    <mergeCell ref="B3:B4"/>
    <mergeCell ref="C3:E3"/>
    <mergeCell ref="B5:B6"/>
    <mergeCell ref="B7:B8"/>
    <mergeCell ref="B9:B10"/>
    <mergeCell ref="B17:B18"/>
    <mergeCell ref="D17:D18"/>
    <mergeCell ref="E17:E18"/>
    <mergeCell ref="B11:B12"/>
    <mergeCell ref="B13:B14"/>
    <mergeCell ref="B15:B1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2">
    <pageSetUpPr fitToPage="1"/>
  </sheetPr>
  <dimension ref="A1:W34"/>
  <sheetViews>
    <sheetView showGridLines="0" zoomScaleNormal="100" workbookViewId="0">
      <pane xSplit="3" ySplit="2" topLeftCell="D12" activePane="bottomRight" state="frozen"/>
      <selection pane="topRight" activeCell="E1" sqref="E1"/>
      <selection pane="bottomLeft" activeCell="A4" sqref="A4"/>
      <selection pane="bottomRight" activeCell="B22" sqref="B22"/>
    </sheetView>
  </sheetViews>
  <sheetFormatPr defaultColWidth="9" defaultRowHeight="15.6"/>
  <cols>
    <col min="1" max="1" width="9" style="5"/>
    <col min="2" max="2" width="39.33203125" style="5" customWidth="1"/>
    <col min="3" max="3" width="34.77734375" style="5" customWidth="1"/>
    <col min="4" max="4" width="48.33203125" style="5" customWidth="1"/>
    <col min="5" max="5" width="12.5546875" style="5" bestFit="1" customWidth="1"/>
    <col min="6" max="6" width="51.44140625" style="5" customWidth="1"/>
    <col min="7" max="16384" width="9" style="5"/>
  </cols>
  <sheetData>
    <row r="1" spans="1:23" ht="24.9" customHeight="1">
      <c r="A1" s="238"/>
      <c r="B1" s="238"/>
      <c r="C1" s="238"/>
      <c r="D1" s="238"/>
    </row>
    <row r="2" spans="1:23" ht="24.9" customHeight="1" thickBot="1">
      <c r="A2" s="239"/>
      <c r="B2" s="239"/>
      <c r="C2" s="239"/>
      <c r="D2" s="239"/>
    </row>
    <row r="3" spans="1:23">
      <c r="A3" s="2" t="s">
        <v>1</v>
      </c>
      <c r="B3" s="44" t="s">
        <v>42</v>
      </c>
      <c r="C3" s="1" t="s">
        <v>43</v>
      </c>
      <c r="D3" s="1" t="s">
        <v>3</v>
      </c>
      <c r="E3" s="1" t="s">
        <v>4</v>
      </c>
      <c r="F3" s="1" t="s">
        <v>2</v>
      </c>
    </row>
    <row r="4" spans="1:23" s="26" customFormat="1" ht="16.2">
      <c r="A4" s="79">
        <v>0</v>
      </c>
      <c r="B4" s="99" t="str">
        <f>C4</f>
        <v>lifterScenario</v>
      </c>
      <c r="C4" s="127" t="s">
        <v>240</v>
      </c>
      <c r="D4" s="80" t="s">
        <v>241</v>
      </c>
      <c r="E4" s="81"/>
      <c r="F4" s="25" t="s">
        <v>343</v>
      </c>
      <c r="G4" s="49"/>
      <c r="H4" s="48"/>
      <c r="I4" s="48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s="26" customFormat="1" ht="16.2">
      <c r="A5" s="79">
        <v>1</v>
      </c>
      <c r="B5" s="132" t="str">
        <f t="shared" ref="B5:B25" si="0">"MCS_"&amp;C5</f>
        <v>MCS_reportAlive</v>
      </c>
      <c r="C5" s="128" t="s">
        <v>123</v>
      </c>
      <c r="D5" s="81" t="s">
        <v>280</v>
      </c>
      <c r="E5" s="82" t="s">
        <v>253</v>
      </c>
      <c r="F5" s="60"/>
      <c r="G5" s="49"/>
      <c r="H5" s="48"/>
      <c r="I5" s="48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s="26" customFormat="1" ht="16.2">
      <c r="A6" s="79">
        <v>2</v>
      </c>
      <c r="B6" s="132" t="str">
        <f t="shared" si="0"/>
        <v>MCS_switchRunMode</v>
      </c>
      <c r="C6" s="128" t="s">
        <v>122</v>
      </c>
      <c r="D6" s="81" t="s">
        <v>254</v>
      </c>
      <c r="E6" s="82" t="s">
        <v>253</v>
      </c>
      <c r="F6" s="60"/>
      <c r="G6" s="49"/>
      <c r="H6" s="48"/>
      <c r="I6" s="48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s="62" customFormat="1" ht="16.2">
      <c r="A7" s="79">
        <v>3</v>
      </c>
      <c r="B7" s="132" t="str">
        <f t="shared" si="0"/>
        <v>MCS_dateTimeSyncRequest</v>
      </c>
      <c r="C7" s="127" t="s">
        <v>124</v>
      </c>
      <c r="D7" s="80" t="s">
        <v>255</v>
      </c>
      <c r="E7" s="82" t="s">
        <v>253</v>
      </c>
      <c r="F7" s="25"/>
    </row>
    <row r="8" spans="1:23" s="62" customFormat="1" ht="16.2">
      <c r="A8" s="79">
        <v>4</v>
      </c>
      <c r="B8" s="132" t="str">
        <f t="shared" si="0"/>
        <v>MCS_alarmReport</v>
      </c>
      <c r="C8" s="127" t="s">
        <v>125</v>
      </c>
      <c r="D8" s="80" t="s">
        <v>256</v>
      </c>
      <c r="E8" s="82" t="s">
        <v>253</v>
      </c>
      <c r="F8" s="61"/>
    </row>
    <row r="9" spans="1:23" s="62" customFormat="1" ht="16.2">
      <c r="A9" s="79">
        <v>5</v>
      </c>
      <c r="B9" s="132" t="str">
        <f t="shared" si="0"/>
        <v>MCS_queryLifterInfo</v>
      </c>
      <c r="C9" s="128" t="s">
        <v>252</v>
      </c>
      <c r="D9" s="130" t="s">
        <v>275</v>
      </c>
      <c r="E9" s="81" t="s">
        <v>257</v>
      </c>
      <c r="F9" s="60"/>
    </row>
    <row r="10" spans="1:23" s="62" customFormat="1" ht="16.2">
      <c r="A10" s="79">
        <v>6</v>
      </c>
      <c r="B10" s="132" t="str">
        <f t="shared" si="0"/>
        <v>MCS_lifterOperationChangeRequest</v>
      </c>
      <c r="C10" s="129" t="s">
        <v>368</v>
      </c>
      <c r="D10" s="93" t="s">
        <v>338</v>
      </c>
      <c r="E10" s="81" t="s">
        <v>257</v>
      </c>
      <c r="F10" s="66"/>
    </row>
    <row r="11" spans="1:23" s="62" customFormat="1" ht="16.2">
      <c r="A11" s="79">
        <v>7</v>
      </c>
      <c r="B11" s="132" t="str">
        <f t="shared" si="0"/>
        <v>MCS_lifterOperationModeReport</v>
      </c>
      <c r="C11" s="129" t="s">
        <v>376</v>
      </c>
      <c r="D11" s="93" t="s">
        <v>325</v>
      </c>
      <c r="E11" s="82" t="s">
        <v>253</v>
      </c>
      <c r="F11" s="66"/>
    </row>
    <row r="12" spans="1:23" s="62" customFormat="1" ht="16.2">
      <c r="A12" s="79">
        <v>8</v>
      </c>
      <c r="B12" s="132" t="str">
        <f t="shared" si="0"/>
        <v>MCS_lifterUnlockRequest</v>
      </c>
      <c r="C12" s="128" t="s">
        <v>290</v>
      </c>
      <c r="D12" s="93" t="s">
        <v>267</v>
      </c>
      <c r="E12" s="81" t="s">
        <v>257</v>
      </c>
      <c r="F12" s="66"/>
    </row>
    <row r="13" spans="1:23" s="62" customFormat="1" ht="16.2">
      <c r="A13" s="79">
        <v>9</v>
      </c>
      <c r="B13" s="132" t="str">
        <f t="shared" si="0"/>
        <v>MCS_lifterLockRequest</v>
      </c>
      <c r="C13" s="131" t="s">
        <v>291</v>
      </c>
      <c r="D13" s="93" t="s">
        <v>269</v>
      </c>
      <c r="E13" s="81" t="s">
        <v>257</v>
      </c>
      <c r="F13" s="66"/>
    </row>
    <row r="14" spans="1:23" s="62" customFormat="1" ht="16.2">
      <c r="A14" s="79">
        <v>10</v>
      </c>
      <c r="B14" s="132" t="str">
        <f t="shared" si="0"/>
        <v>MCS_lifterDoorOpenCompleted</v>
      </c>
      <c r="C14" s="129" t="s">
        <v>292</v>
      </c>
      <c r="D14" s="92" t="s">
        <v>270</v>
      </c>
      <c r="E14" s="82" t="s">
        <v>253</v>
      </c>
      <c r="F14" s="66"/>
    </row>
    <row r="15" spans="1:23" s="62" customFormat="1" ht="16.2">
      <c r="A15" s="79">
        <v>11</v>
      </c>
      <c r="B15" s="132" t="str">
        <f t="shared" si="0"/>
        <v>MCS_lifterStatusReport</v>
      </c>
      <c r="C15" s="129" t="s">
        <v>293</v>
      </c>
      <c r="D15" s="92" t="s">
        <v>382</v>
      </c>
      <c r="E15" s="82" t="s">
        <v>253</v>
      </c>
      <c r="F15" s="66"/>
    </row>
    <row r="16" spans="1:23" s="62" customFormat="1" ht="16.2">
      <c r="A16" s="79">
        <v>12</v>
      </c>
      <c r="B16" s="132" t="str">
        <f t="shared" si="0"/>
        <v>MCS_agvMovingInform</v>
      </c>
      <c r="C16" s="129" t="s">
        <v>314</v>
      </c>
      <c r="D16" s="92" t="s">
        <v>271</v>
      </c>
      <c r="E16" s="81" t="s">
        <v>257</v>
      </c>
      <c r="F16" s="66"/>
    </row>
    <row r="17" spans="1:6" s="62" customFormat="1" ht="16.2">
      <c r="A17" s="79">
        <v>13</v>
      </c>
      <c r="B17" s="132" t="str">
        <f t="shared" si="0"/>
        <v>MCS_agvOutLifterInform</v>
      </c>
      <c r="C17" s="129" t="s">
        <v>315</v>
      </c>
      <c r="D17" s="92" t="s">
        <v>272</v>
      </c>
      <c r="E17" s="81" t="s">
        <v>257</v>
      </c>
      <c r="F17" s="66"/>
    </row>
    <row r="18" spans="1:6" s="62" customFormat="1" ht="16.2">
      <c r="A18" s="79">
        <v>14</v>
      </c>
      <c r="B18" s="132" t="str">
        <f t="shared" si="0"/>
        <v>MCS_fireEventReport</v>
      </c>
      <c r="C18" s="129" t="s">
        <v>320</v>
      </c>
      <c r="D18" s="92" t="s">
        <v>273</v>
      </c>
      <c r="E18" s="82" t="s">
        <v>253</v>
      </c>
      <c r="F18" s="66"/>
    </row>
    <row r="19" spans="1:6" s="62" customFormat="1" ht="16.2">
      <c r="A19" s="79">
        <v>15</v>
      </c>
      <c r="B19" s="132" t="str">
        <f t="shared" si="0"/>
        <v>MCS_carrierWaitIn</v>
      </c>
      <c r="C19" s="128" t="s">
        <v>321</v>
      </c>
      <c r="D19" s="93" t="s">
        <v>274</v>
      </c>
      <c r="E19" s="81" t="s">
        <v>257</v>
      </c>
      <c r="F19" s="66"/>
    </row>
    <row r="20" spans="1:6" s="62" customFormat="1" ht="16.2">
      <c r="A20" s="79">
        <v>16</v>
      </c>
      <c r="B20" s="132" t="str">
        <f t="shared" si="0"/>
        <v>MCS_carrierWaitOut</v>
      </c>
      <c r="C20" s="131" t="s">
        <v>322</v>
      </c>
      <c r="D20" s="145" t="s">
        <v>399</v>
      </c>
      <c r="E20" s="81" t="s">
        <v>257</v>
      </c>
      <c r="F20" s="66"/>
    </row>
    <row r="21" spans="1:6" s="62" customFormat="1" ht="16.2">
      <c r="A21" s="79">
        <v>17</v>
      </c>
      <c r="B21" s="132" t="str">
        <f>"MCS_"&amp; C21</f>
        <v>MCS_carrierReportEvent</v>
      </c>
      <c r="C21" s="137" t="s">
        <v>140</v>
      </c>
      <c r="D21" s="93" t="s">
        <v>339</v>
      </c>
      <c r="E21" s="82" t="s">
        <v>253</v>
      </c>
      <c r="F21" s="66"/>
    </row>
    <row r="22" spans="1:6" s="62" customFormat="1" ht="16.2">
      <c r="A22" s="79">
        <v>18</v>
      </c>
      <c r="B22" s="132" t="str">
        <f t="shared" si="0"/>
        <v>MCS_lifterMoveRequest</v>
      </c>
      <c r="C22" s="128" t="s">
        <v>323</v>
      </c>
      <c r="D22" s="81" t="s">
        <v>268</v>
      </c>
      <c r="E22" s="82" t="s">
        <v>257</v>
      </c>
      <c r="F22" s="60"/>
    </row>
    <row r="23" spans="1:6" s="62" customFormat="1" ht="16.2">
      <c r="A23" s="79">
        <v>19</v>
      </c>
      <c r="B23" s="132" t="str">
        <f t="shared" si="0"/>
        <v>MCS_lifterMoveTaskReport</v>
      </c>
      <c r="C23" s="128" t="s">
        <v>324</v>
      </c>
      <c r="D23" s="93" t="s">
        <v>73</v>
      </c>
      <c r="E23" s="82" t="s">
        <v>253</v>
      </c>
      <c r="F23" s="66"/>
    </row>
    <row r="24" spans="1:6" s="62" customFormat="1" ht="16.2">
      <c r="A24" s="79">
        <v>20</v>
      </c>
      <c r="B24" s="132" t="str">
        <f t="shared" si="0"/>
        <v>MCS_lifterInfoUploadRequest</v>
      </c>
      <c r="C24" s="128" t="s">
        <v>445</v>
      </c>
      <c r="D24" s="93" t="s">
        <v>340</v>
      </c>
      <c r="E24" s="82" t="s">
        <v>257</v>
      </c>
      <c r="F24" s="66"/>
    </row>
    <row r="25" spans="1:6" s="62" customFormat="1" ht="16.2">
      <c r="A25" s="79">
        <v>21</v>
      </c>
      <c r="B25" s="132" t="str">
        <f t="shared" si="0"/>
        <v>MCS_lifterInfoUpload</v>
      </c>
      <c r="C25" s="128" t="s">
        <v>276</v>
      </c>
      <c r="D25" s="93" t="s">
        <v>289</v>
      </c>
      <c r="E25" s="82" t="s">
        <v>253</v>
      </c>
      <c r="F25" s="66"/>
    </row>
    <row r="26" spans="1:6" s="62" customFormat="1" ht="16.2">
      <c r="A26" s="79">
        <v>22</v>
      </c>
      <c r="B26" s="132" t="str">
        <f t="shared" ref="B26:B27" si="1">"MCS_"&amp; C26</f>
        <v>MCS_carrierMoveCancelByMCS</v>
      </c>
      <c r="C26" s="117" t="s">
        <v>141</v>
      </c>
      <c r="D26" s="81" t="s">
        <v>332</v>
      </c>
      <c r="E26" s="82" t="s">
        <v>341</v>
      </c>
      <c r="F26" s="60"/>
    </row>
    <row r="27" spans="1:6" s="62" customFormat="1" ht="16.2">
      <c r="A27" s="79">
        <v>23</v>
      </c>
      <c r="B27" s="132" t="str">
        <f t="shared" si="1"/>
        <v>MCS_cancelTaskReport</v>
      </c>
      <c r="C27" s="81" t="s">
        <v>142</v>
      </c>
      <c r="D27" s="81" t="s">
        <v>417</v>
      </c>
      <c r="E27" s="82" t="s">
        <v>342</v>
      </c>
      <c r="F27" s="60"/>
    </row>
    <row r="28" spans="1:6" s="62" customFormat="1" ht="16.2">
      <c r="A28" s="79">
        <v>24</v>
      </c>
      <c r="B28" s="66"/>
      <c r="C28" s="66"/>
      <c r="D28" s="66"/>
      <c r="E28" s="66"/>
      <c r="F28" s="66"/>
    </row>
    <row r="29" spans="1:6" s="62" customFormat="1" ht="16.2">
      <c r="A29" s="79">
        <v>25</v>
      </c>
      <c r="B29" s="66"/>
      <c r="C29" s="66"/>
      <c r="D29" s="66"/>
      <c r="E29" s="66"/>
      <c r="F29" s="66"/>
    </row>
    <row r="30" spans="1:6" s="62" customFormat="1" ht="16.2">
      <c r="A30" s="79">
        <v>26</v>
      </c>
      <c r="B30" s="66"/>
      <c r="C30" s="66"/>
      <c r="D30" s="66"/>
      <c r="E30" s="66"/>
      <c r="F30" s="66"/>
    </row>
    <row r="31" spans="1:6" s="62" customFormat="1" ht="16.2">
      <c r="A31" s="79">
        <v>27</v>
      </c>
      <c r="B31" s="66"/>
      <c r="C31" s="66"/>
      <c r="D31" s="66"/>
      <c r="E31" s="66"/>
      <c r="F31" s="66"/>
    </row>
    <row r="32" spans="1:6" s="62" customFormat="1" ht="16.2">
      <c r="A32" s="79">
        <v>28</v>
      </c>
      <c r="B32" s="66"/>
      <c r="C32" s="66"/>
      <c r="D32" s="66"/>
      <c r="E32" s="66"/>
      <c r="F32" s="66"/>
    </row>
    <row r="33" spans="1:6" s="62" customFormat="1" ht="16.2">
      <c r="A33" s="79">
        <v>29</v>
      </c>
      <c r="B33" s="66"/>
      <c r="C33" s="66"/>
      <c r="D33" s="66"/>
      <c r="E33" s="66"/>
      <c r="F33" s="66"/>
    </row>
    <row r="34" spans="1:6" s="62" customFormat="1" ht="16.2">
      <c r="A34" s="79">
        <v>30</v>
      </c>
      <c r="B34" s="66"/>
      <c r="C34" s="66"/>
      <c r="D34" s="66"/>
      <c r="E34" s="66"/>
      <c r="F34" s="66"/>
    </row>
  </sheetData>
  <autoFilter ref="E1:E34" xr:uid="{00000000-0009-0000-0000-000004000000}"/>
  <mergeCells count="1">
    <mergeCell ref="A1:D2"/>
  </mergeCells>
  <phoneticPr fontId="1" type="noConversion"/>
  <hyperlinks>
    <hyperlink ref="B24" location="lifterInfoUploadRequest!A1" display="lifterInfoUploadRequest!A1" xr:uid="{00000000-0004-0000-0400-000000000000}"/>
    <hyperlink ref="B25" location="lifterInfoUpload!A1" display="lifterInfoUpload!A1" xr:uid="{00000000-0004-0000-0400-000001000000}"/>
    <hyperlink ref="B5" location="reportAlive!A1" display="reportAlive!A1" xr:uid="{00000000-0004-0000-0400-000002000000}"/>
    <hyperlink ref="B6" location="switchRunMode!A1" display="switchRunMode!A1" xr:uid="{00000000-0004-0000-0400-000003000000}"/>
    <hyperlink ref="B7" location="dateTimeSyncRequest!A1" display="dateTimeSyncRequest!A1" xr:uid="{00000000-0004-0000-0400-000004000000}"/>
    <hyperlink ref="B8" location="alarmReport!A1" display="alarmReport!A1" xr:uid="{00000000-0004-0000-0400-000005000000}"/>
    <hyperlink ref="B9" location="queryLifterInfo!A1" display="queryLifterInfo!A1" xr:uid="{00000000-0004-0000-0400-000006000000}"/>
    <hyperlink ref="B10" location="lifterOperationChangeRequest!A1" display="lifterOperationChangeRequest!A1" xr:uid="{00000000-0004-0000-0400-000007000000}"/>
    <hyperlink ref="B11" location="lifterOperationModeReport!A1" display="lifterOperationModeReport!A1" xr:uid="{00000000-0004-0000-0400-000008000000}"/>
    <hyperlink ref="B12" location="lifterUnlockRequest!A1" display="lifterUnlockRequest!A1" xr:uid="{00000000-0004-0000-0400-000009000000}"/>
    <hyperlink ref="B13" location="lifterLockRequest!A1" display="lifterLockRequest!A1" xr:uid="{00000000-0004-0000-0400-00000A000000}"/>
    <hyperlink ref="B14" location="lifterDoorOpenCompleted!A1" display="lifterDoorOpenCompleted!A1" xr:uid="{00000000-0004-0000-0400-00000B000000}"/>
    <hyperlink ref="B15" location="lifterStatusReport!A1" display="lifterStatusReport!A1" xr:uid="{00000000-0004-0000-0400-00000C000000}"/>
    <hyperlink ref="B16" location="AGVMovingInform!A1" display="AGVMovingInform!A1" xr:uid="{00000000-0004-0000-0400-00000D000000}"/>
    <hyperlink ref="B17" location="AGVOutLifterInform!A1" display="AGVOutLifterInform!A1" xr:uid="{00000000-0004-0000-0400-00000E000000}"/>
    <hyperlink ref="B18" location="fireEventReport!A1" display="fireEventReport!A1" xr:uid="{00000000-0004-0000-0400-00000F000000}"/>
    <hyperlink ref="B19" location="carrierWaitIn!A1" display="carrierWaitIn!A1" xr:uid="{00000000-0004-0000-0400-000010000000}"/>
    <hyperlink ref="B20" location="carrierWaitOut!A1" display="carrierWaitOut!A1" xr:uid="{00000000-0004-0000-0400-000011000000}"/>
    <hyperlink ref="B22" location="lifterMoveRequest!A1" display="lifterMoveRequest!A1" xr:uid="{00000000-0004-0000-0400-000012000000}"/>
    <hyperlink ref="B23" location="lifterMoveTaskReport!A1" display="lifterMoveTaskReport!A1" xr:uid="{00000000-0004-0000-0400-000013000000}"/>
    <hyperlink ref="B26" location="carrierMoveCancelByMCS!A1" display="carrierMoveCancelByMCS!A1" xr:uid="{00000000-0004-0000-0400-000014000000}"/>
    <hyperlink ref="B27" location="cancelTaskReport!A1" display="cancelTaskReport!A1" xr:uid="{00000000-0004-0000-0400-000015000000}"/>
    <hyperlink ref="B21" location="carrierReportEvent!A1" display="carrierReportEvent!A1" xr:uid="{00000000-0004-0000-0400-000016000000}"/>
  </hyperlinks>
  <pageMargins left="0.70866141732283472" right="0.70866141732283472" top="0.74803149606299213" bottom="0.74803149606299213" header="0.31496062992125984" footer="0.31496062992125984"/>
  <pageSetup paperSize="9" scale="63" orientation="landscape" r:id="rId1"/>
  <ignoredErrors>
    <ignoredError sqref="B21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V299"/>
  <sheetViews>
    <sheetView topLeftCell="A265" zoomScaleNormal="100" workbookViewId="0">
      <selection activeCell="H296" sqref="H296"/>
    </sheetView>
  </sheetViews>
  <sheetFormatPr defaultColWidth="9" defaultRowHeight="15.6"/>
  <cols>
    <col min="1" max="1" width="5.6640625" style="53" customWidth="1"/>
    <col min="2" max="2" width="19.44140625" style="53" customWidth="1"/>
    <col min="3" max="11" width="9" style="53"/>
    <col min="12" max="12" width="11.88671875" style="53" bestFit="1" customWidth="1"/>
    <col min="13" max="16384" width="9" style="53"/>
  </cols>
  <sheetData>
    <row r="2" spans="2:22" ht="16.2">
      <c r="B2" s="123" t="s">
        <v>242</v>
      </c>
    </row>
    <row r="10" spans="2:22">
      <c r="G10" s="54"/>
    </row>
    <row r="16" spans="2:22" ht="16.2">
      <c r="V16" s="55"/>
    </row>
    <row r="18" spans="2:22" ht="16.2">
      <c r="B18" s="124" t="s">
        <v>243</v>
      </c>
    </row>
    <row r="26" spans="2:22">
      <c r="G26" s="54"/>
    </row>
    <row r="32" spans="2:22" ht="16.2">
      <c r="V32" s="55"/>
    </row>
    <row r="38" spans="2:12" ht="16.2">
      <c r="B38" s="56" t="s">
        <v>244</v>
      </c>
    </row>
    <row r="39" spans="2:12">
      <c r="D39" s="57"/>
      <c r="E39" s="57"/>
      <c r="F39" s="57"/>
      <c r="G39" s="57"/>
      <c r="H39" s="57"/>
      <c r="I39" s="57"/>
      <c r="J39" s="57"/>
      <c r="K39" s="58"/>
      <c r="L39" s="57"/>
    </row>
    <row r="74" spans="2:12" ht="16.2">
      <c r="B74" s="125" t="s">
        <v>245</v>
      </c>
    </row>
    <row r="75" spans="2:12">
      <c r="D75" s="57"/>
      <c r="E75" s="57"/>
      <c r="F75" s="57"/>
      <c r="G75" s="57"/>
      <c r="H75" s="57"/>
      <c r="I75" s="57"/>
      <c r="J75" s="57"/>
      <c r="K75" s="58"/>
      <c r="L75" s="57"/>
    </row>
    <row r="94" spans="2:12" ht="16.2">
      <c r="B94" s="56" t="s">
        <v>246</v>
      </c>
    </row>
    <row r="95" spans="2:12">
      <c r="D95" s="57"/>
      <c r="E95" s="57"/>
      <c r="F95" s="57"/>
      <c r="G95" s="57"/>
      <c r="H95" s="57"/>
      <c r="I95" s="57"/>
      <c r="J95" s="57"/>
      <c r="K95" s="58"/>
      <c r="L95" s="57"/>
    </row>
    <row r="106" spans="9:9" ht="16.2">
      <c r="I106" s="126" t="s">
        <v>50</v>
      </c>
    </row>
    <row r="129" spans="9:9" ht="16.2">
      <c r="I129" s="126" t="s">
        <v>51</v>
      </c>
    </row>
    <row r="130" spans="9:9" ht="16.2">
      <c r="I130" s="126"/>
    </row>
    <row r="131" spans="9:9" ht="16.2">
      <c r="I131" s="126"/>
    </row>
    <row r="132" spans="9:9" ht="16.2">
      <c r="I132" s="126"/>
    </row>
    <row r="133" spans="9:9" ht="16.2">
      <c r="I133" s="126"/>
    </row>
    <row r="151" spans="2:2" ht="16.2">
      <c r="B151" s="56" t="s">
        <v>247</v>
      </c>
    </row>
    <row r="171" spans="2:2" ht="16.2">
      <c r="B171" s="56" t="s">
        <v>248</v>
      </c>
    </row>
    <row r="192" spans="2:2" ht="16.2">
      <c r="B192" s="56" t="s">
        <v>249</v>
      </c>
    </row>
    <row r="217" spans="2:2" ht="16.2">
      <c r="B217" s="56" t="s">
        <v>250</v>
      </c>
    </row>
    <row r="243" spans="2:7">
      <c r="B243" s="59" t="s">
        <v>251</v>
      </c>
    </row>
    <row r="251" spans="2:7">
      <c r="G251" s="54"/>
    </row>
    <row r="256" spans="2:7" ht="16.2">
      <c r="B256" s="56" t="s">
        <v>159</v>
      </c>
    </row>
    <row r="257" spans="4:20">
      <c r="D257" s="57"/>
      <c r="E257" s="57"/>
      <c r="F257" s="57"/>
      <c r="G257" s="57"/>
      <c r="H257" s="57"/>
      <c r="I257" s="57"/>
      <c r="J257" s="57"/>
      <c r="K257" s="58"/>
      <c r="L257" s="57"/>
    </row>
    <row r="259" spans="4:20" ht="16.2">
      <c r="T259" s="78"/>
    </row>
    <row r="260" spans="4:20" ht="16.2">
      <c r="T260" s="78"/>
    </row>
    <row r="261" spans="4:20" ht="16.2">
      <c r="T261" s="78"/>
    </row>
    <row r="279" spans="2:2" ht="16.2">
      <c r="B279" s="56" t="s">
        <v>418</v>
      </c>
    </row>
    <row r="299" spans="2:2" ht="16.2">
      <c r="B299" s="56" t="s">
        <v>419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7"/>
  <sheetViews>
    <sheetView showGridLines="0" zoomScale="85" zoomScaleNormal="85" workbookViewId="0">
      <selection activeCell="E29" sqref="E29"/>
    </sheetView>
  </sheetViews>
  <sheetFormatPr defaultColWidth="9" defaultRowHeight="16.2"/>
  <cols>
    <col min="1" max="1" width="9" style="3"/>
    <col min="2" max="2" width="18.77734375" style="3" customWidth="1"/>
    <col min="3" max="3" width="16" style="3" customWidth="1"/>
    <col min="4" max="4" width="13" style="3" customWidth="1"/>
    <col min="5" max="8" width="17.44140625" style="3" customWidth="1"/>
    <col min="9" max="9" width="30.33203125" style="3" customWidth="1"/>
    <col min="10" max="10" width="58.44140625" style="3" customWidth="1"/>
    <col min="11" max="16384" width="9" style="3"/>
  </cols>
  <sheetData>
    <row r="1" spans="1:10">
      <c r="A1" s="250"/>
      <c r="B1" s="250"/>
      <c r="C1" s="250"/>
    </row>
    <row r="2" spans="1:10">
      <c r="A2" s="250"/>
      <c r="B2" s="250"/>
      <c r="C2" s="250"/>
    </row>
    <row r="3" spans="1:10" ht="16.8" thickBot="1">
      <c r="A3" s="250"/>
      <c r="B3" s="250"/>
      <c r="C3" s="250"/>
    </row>
    <row r="4" spans="1:10">
      <c r="A4" s="90" t="s">
        <v>0</v>
      </c>
      <c r="B4" s="86" t="s">
        <v>42</v>
      </c>
      <c r="C4" s="251" t="s">
        <v>488</v>
      </c>
      <c r="D4" s="251"/>
      <c r="E4" s="251"/>
      <c r="F4" s="251"/>
      <c r="G4" s="251"/>
      <c r="H4" s="251"/>
      <c r="I4" s="251"/>
      <c r="J4" s="252"/>
    </row>
    <row r="5" spans="1:10">
      <c r="B5" s="87" t="s">
        <v>83</v>
      </c>
      <c r="C5" s="240" t="s">
        <v>259</v>
      </c>
      <c r="D5" s="240"/>
      <c r="E5" s="240"/>
      <c r="F5" s="240"/>
      <c r="G5" s="240"/>
      <c r="H5" s="240"/>
      <c r="I5" s="240"/>
      <c r="J5" s="241"/>
    </row>
    <row r="6" spans="1:10" ht="16.5" customHeight="1" thickBot="1">
      <c r="A6" s="4"/>
      <c r="B6" s="88" t="s">
        <v>5</v>
      </c>
      <c r="C6" s="242" t="s">
        <v>33</v>
      </c>
      <c r="D6" s="242"/>
      <c r="E6" s="242"/>
      <c r="F6" s="242"/>
      <c r="G6" s="242"/>
      <c r="H6" s="242"/>
      <c r="I6" s="242"/>
      <c r="J6" s="243"/>
    </row>
    <row r="7" spans="1:10" ht="6.6" customHeight="1" thickBot="1">
      <c r="A7" s="4"/>
      <c r="C7" s="84"/>
      <c r="D7" s="84"/>
      <c r="E7" s="84"/>
      <c r="F7" s="84"/>
      <c r="G7" s="84"/>
      <c r="H7" s="84"/>
      <c r="I7" s="84"/>
      <c r="J7" s="84"/>
    </row>
    <row r="8" spans="1:10" ht="16.5" customHeight="1">
      <c r="A8" s="4"/>
      <c r="B8" s="244" t="s">
        <v>102</v>
      </c>
      <c r="C8" s="91" t="s">
        <v>106</v>
      </c>
      <c r="D8" s="91" t="s">
        <v>103</v>
      </c>
      <c r="E8" s="91" t="s">
        <v>107</v>
      </c>
      <c r="F8" s="91" t="s">
        <v>104</v>
      </c>
      <c r="G8" s="91" t="s">
        <v>108</v>
      </c>
      <c r="H8" s="91" t="s">
        <v>105</v>
      </c>
      <c r="I8" s="91" t="s">
        <v>24</v>
      </c>
      <c r="J8" s="96" t="s">
        <v>2</v>
      </c>
    </row>
    <row r="9" spans="1:10">
      <c r="A9" s="4"/>
      <c r="B9" s="245"/>
      <c r="C9" s="28" t="s">
        <v>41</v>
      </c>
      <c r="D9" s="28" t="s">
        <v>72</v>
      </c>
      <c r="E9" s="28"/>
      <c r="F9" s="28"/>
      <c r="G9" s="28"/>
      <c r="H9" s="28"/>
      <c r="I9" s="28" t="s">
        <v>75</v>
      </c>
      <c r="J9" s="27" t="s">
        <v>27</v>
      </c>
    </row>
    <row r="10" spans="1:10">
      <c r="A10" s="4"/>
      <c r="B10" s="245"/>
      <c r="C10" s="28" t="s">
        <v>114</v>
      </c>
      <c r="D10" s="28" t="s">
        <v>72</v>
      </c>
      <c r="E10" s="28"/>
      <c r="F10" s="28"/>
      <c r="G10" s="28"/>
      <c r="H10" s="28"/>
      <c r="I10" s="28" t="s">
        <v>76</v>
      </c>
      <c r="J10" s="27" t="s">
        <v>28</v>
      </c>
    </row>
    <row r="11" spans="1:10">
      <c r="A11" s="4"/>
      <c r="B11" s="245"/>
      <c r="C11" s="31" t="s">
        <v>115</v>
      </c>
      <c r="D11" s="28" t="s">
        <v>72</v>
      </c>
      <c r="E11" s="28"/>
      <c r="F11" s="28"/>
      <c r="G11" s="28"/>
      <c r="H11" s="28"/>
      <c r="I11" s="28" t="s">
        <v>288</v>
      </c>
      <c r="J11" s="33" t="s">
        <v>84</v>
      </c>
    </row>
    <row r="12" spans="1:10">
      <c r="A12" s="4"/>
      <c r="B12" s="245"/>
      <c r="C12" s="31" t="s">
        <v>116</v>
      </c>
      <c r="D12" s="28" t="s">
        <v>72</v>
      </c>
      <c r="E12" s="28"/>
      <c r="F12" s="28"/>
      <c r="G12" s="28"/>
      <c r="H12" s="28"/>
      <c r="I12" s="28" t="s">
        <v>281</v>
      </c>
      <c r="J12" s="33" t="s">
        <v>260</v>
      </c>
    </row>
    <row r="13" spans="1:10">
      <c r="A13" s="4"/>
      <c r="B13" s="245"/>
      <c r="C13" s="28"/>
      <c r="D13" s="28"/>
      <c r="E13" s="28"/>
      <c r="F13" s="28"/>
      <c r="G13" s="28"/>
      <c r="H13" s="28"/>
      <c r="I13" s="28"/>
      <c r="J13" s="27"/>
    </row>
    <row r="14" spans="1:10" ht="16.8" thickBot="1">
      <c r="A14" s="4"/>
      <c r="B14" s="246"/>
      <c r="C14" s="30"/>
      <c r="D14" s="30"/>
      <c r="E14" s="30"/>
      <c r="F14" s="30"/>
      <c r="G14" s="30"/>
      <c r="H14" s="30"/>
      <c r="I14" s="30"/>
      <c r="J14" s="29"/>
    </row>
    <row r="15" spans="1:10">
      <c r="A15" s="84"/>
      <c r="B15" s="85"/>
      <c r="C15" s="83"/>
      <c r="D15" s="83"/>
      <c r="E15" s="83"/>
      <c r="F15" s="83"/>
      <c r="G15" s="83"/>
      <c r="H15" s="83"/>
      <c r="I15" s="83"/>
      <c r="J15" s="83"/>
    </row>
    <row r="16" spans="1:10" ht="16.8" thickBot="1">
      <c r="A16" s="84"/>
      <c r="B16" s="85"/>
      <c r="C16" s="83"/>
      <c r="D16" s="83"/>
      <c r="E16" s="83"/>
      <c r="F16" s="83"/>
      <c r="G16" s="83"/>
      <c r="H16" s="83"/>
      <c r="I16" s="83"/>
      <c r="J16" s="83"/>
    </row>
    <row r="17" spans="1:10" ht="16.2" customHeight="1">
      <c r="A17" s="84"/>
      <c r="B17" s="86" t="s">
        <v>42</v>
      </c>
      <c r="C17" s="251" t="s">
        <v>489</v>
      </c>
      <c r="D17" s="251"/>
      <c r="E17" s="251"/>
      <c r="F17" s="251"/>
      <c r="G17" s="251"/>
      <c r="H17" s="251"/>
      <c r="I17" s="251"/>
      <c r="J17" s="252"/>
    </row>
    <row r="18" spans="1:10">
      <c r="A18" s="84"/>
      <c r="B18" s="87" t="s">
        <v>83</v>
      </c>
      <c r="C18" s="240" t="s">
        <v>261</v>
      </c>
      <c r="D18" s="240"/>
      <c r="E18" s="240"/>
      <c r="F18" s="240"/>
      <c r="G18" s="240"/>
      <c r="H18" s="240"/>
      <c r="I18" s="240"/>
      <c r="J18" s="241"/>
    </row>
    <row r="19" spans="1:10" ht="16.8" thickBot="1">
      <c r="A19" s="4"/>
      <c r="B19" s="88" t="s">
        <v>5</v>
      </c>
      <c r="C19" s="242" t="s">
        <v>85</v>
      </c>
      <c r="D19" s="242"/>
      <c r="E19" s="242"/>
      <c r="F19" s="242"/>
      <c r="G19" s="242"/>
      <c r="H19" s="242"/>
      <c r="I19" s="242"/>
      <c r="J19" s="243"/>
    </row>
    <row r="20" spans="1:10" ht="10.199999999999999" customHeight="1" thickBot="1">
      <c r="A20" s="4"/>
      <c r="C20" s="84"/>
      <c r="D20" s="84"/>
      <c r="E20" s="84"/>
      <c r="F20" s="84"/>
      <c r="G20" s="84"/>
      <c r="H20" s="84"/>
      <c r="I20" s="84"/>
      <c r="J20" s="84"/>
    </row>
    <row r="21" spans="1:10">
      <c r="B21" s="244" t="s">
        <v>102</v>
      </c>
      <c r="C21" s="91" t="s">
        <v>106</v>
      </c>
      <c r="D21" s="91" t="s">
        <v>103</v>
      </c>
      <c r="E21" s="91" t="s">
        <v>107</v>
      </c>
      <c r="F21" s="91" t="s">
        <v>104</v>
      </c>
      <c r="G21" s="91" t="s">
        <v>108</v>
      </c>
      <c r="H21" s="91" t="s">
        <v>105</v>
      </c>
      <c r="I21" s="91" t="s">
        <v>24</v>
      </c>
      <c r="J21" s="96" t="s">
        <v>2</v>
      </c>
    </row>
    <row r="22" spans="1:10">
      <c r="B22" s="245"/>
      <c r="C22" s="28" t="s">
        <v>117</v>
      </c>
      <c r="D22" s="28" t="s">
        <v>72</v>
      </c>
      <c r="E22" s="28"/>
      <c r="F22" s="28"/>
      <c r="G22" s="28"/>
      <c r="H22" s="28"/>
      <c r="I22" s="28">
        <v>60</v>
      </c>
      <c r="J22" s="32" t="s">
        <v>35</v>
      </c>
    </row>
    <row r="23" spans="1:10">
      <c r="B23" s="245"/>
      <c r="C23" s="28"/>
      <c r="D23" s="28"/>
      <c r="E23" s="28"/>
      <c r="F23" s="28"/>
      <c r="G23" s="28"/>
      <c r="H23" s="28"/>
      <c r="I23" s="28"/>
      <c r="J23" s="27"/>
    </row>
    <row r="24" spans="1:10">
      <c r="B24" s="245"/>
      <c r="C24" s="28"/>
      <c r="D24" s="28"/>
      <c r="E24" s="28"/>
      <c r="F24" s="28"/>
      <c r="G24" s="28"/>
      <c r="H24" s="28"/>
      <c r="I24" s="28"/>
      <c r="J24" s="32"/>
    </row>
    <row r="25" spans="1:10" ht="16.8" thickBot="1">
      <c r="B25" s="246"/>
      <c r="C25" s="30"/>
      <c r="D25" s="30"/>
      <c r="E25" s="30"/>
      <c r="F25" s="30"/>
      <c r="G25" s="30"/>
      <c r="H25" s="30"/>
      <c r="I25" s="30"/>
      <c r="J25" s="29"/>
    </row>
    <row r="26" spans="1:10">
      <c r="B26" s="85"/>
      <c r="C26" s="83"/>
      <c r="D26" s="83"/>
      <c r="E26" s="83"/>
      <c r="F26" s="83"/>
      <c r="G26" s="83"/>
      <c r="H26" s="83"/>
      <c r="I26" s="83"/>
      <c r="J26" s="83"/>
    </row>
    <row r="27" spans="1:10" ht="65.400000000000006" customHeight="1">
      <c r="B27" s="89" t="s">
        <v>74</v>
      </c>
      <c r="C27" s="247"/>
      <c r="D27" s="248"/>
      <c r="E27" s="248"/>
      <c r="F27" s="248"/>
      <c r="G27" s="248"/>
      <c r="H27" s="248"/>
      <c r="I27" s="248"/>
      <c r="J27" s="249"/>
    </row>
  </sheetData>
  <mergeCells count="10">
    <mergeCell ref="C18:J18"/>
    <mergeCell ref="C19:J19"/>
    <mergeCell ref="B21:B25"/>
    <mergeCell ref="C27:J27"/>
    <mergeCell ref="A1:C3"/>
    <mergeCell ref="C4:J4"/>
    <mergeCell ref="C5:J5"/>
    <mergeCell ref="C6:J6"/>
    <mergeCell ref="B8:B14"/>
    <mergeCell ref="C17:J17"/>
  </mergeCells>
  <phoneticPr fontId="1" type="noConversion"/>
  <conditionalFormatting sqref="C8:H8">
    <cfRule type="duplicateValues" dxfId="45" priority="1"/>
  </conditionalFormatting>
  <hyperlinks>
    <hyperlink ref="A4" location="List!A1" display="LIST" xr:uid="{00000000-0004-0000-0600-000000000000}"/>
  </hyperlink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封裝程式殼層物件" shapeId="50188" r:id="rId4">
          <objectPr defaultSize="0" r:id="rId5">
            <anchor moveWithCells="1">
              <from>
                <xdr:col>2</xdr:col>
                <xdr:colOff>518160</xdr:colOff>
                <xdr:row>26</xdr:row>
                <xdr:rowOff>182880</xdr:rowOff>
              </from>
              <to>
                <xdr:col>3</xdr:col>
                <xdr:colOff>350520</xdr:colOff>
                <xdr:row>26</xdr:row>
                <xdr:rowOff>693420</xdr:rowOff>
              </to>
            </anchor>
          </objectPr>
        </oleObject>
      </mc:Choice>
      <mc:Fallback>
        <oleObject progId="封裝程式殼層物件" shapeId="50188" r:id="rId4"/>
      </mc:Fallback>
    </mc:AlternateContent>
    <mc:AlternateContent xmlns:mc="http://schemas.openxmlformats.org/markup-compatibility/2006">
      <mc:Choice Requires="x14">
        <oleObject progId="封裝程式殼層物件" shapeId="50189" r:id="rId6">
          <objectPr defaultSize="0" r:id="rId7">
            <anchor moveWithCells="1">
              <from>
                <xdr:col>3</xdr:col>
                <xdr:colOff>480060</xdr:colOff>
                <xdr:row>26</xdr:row>
                <xdr:rowOff>190500</xdr:rowOff>
              </from>
              <to>
                <xdr:col>4</xdr:col>
                <xdr:colOff>891540</xdr:colOff>
                <xdr:row>26</xdr:row>
                <xdr:rowOff>708660</xdr:rowOff>
              </to>
            </anchor>
          </objectPr>
        </oleObject>
      </mc:Choice>
      <mc:Fallback>
        <oleObject progId="封裝程式殼層物件" shapeId="50189" r:id="rId6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6"/>
  <dimension ref="A1:J26"/>
  <sheetViews>
    <sheetView showGridLines="0" zoomScale="90" zoomScaleNormal="90" workbookViewId="0">
      <selection activeCell="D29" sqref="D29"/>
    </sheetView>
  </sheetViews>
  <sheetFormatPr defaultColWidth="9" defaultRowHeight="16.2"/>
  <cols>
    <col min="1" max="1" width="9" style="3"/>
    <col min="2" max="2" width="18.77734375" style="3" customWidth="1"/>
    <col min="3" max="3" width="18.6640625" style="3" customWidth="1"/>
    <col min="4" max="4" width="13" style="3" customWidth="1"/>
    <col min="5" max="5" width="17.88671875" style="3" customWidth="1"/>
    <col min="6" max="8" width="16.88671875" style="3" customWidth="1"/>
    <col min="9" max="9" width="30.33203125" style="3" customWidth="1"/>
    <col min="10" max="10" width="27.21875" style="3" customWidth="1"/>
    <col min="11" max="16384" width="9" style="3"/>
  </cols>
  <sheetData>
    <row r="1" spans="1:10">
      <c r="A1" s="250"/>
      <c r="B1" s="250"/>
      <c r="C1" s="250"/>
    </row>
    <row r="2" spans="1:10">
      <c r="A2" s="250"/>
      <c r="B2" s="250"/>
      <c r="C2" s="250"/>
    </row>
    <row r="3" spans="1:10" ht="16.8" thickBot="1">
      <c r="A3" s="250"/>
      <c r="B3" s="250"/>
      <c r="C3" s="250"/>
    </row>
    <row r="4" spans="1:10">
      <c r="A4" s="90" t="s">
        <v>0</v>
      </c>
      <c r="B4" s="86" t="s">
        <v>42</v>
      </c>
      <c r="C4" s="251" t="s">
        <v>300</v>
      </c>
      <c r="D4" s="251"/>
      <c r="E4" s="251"/>
      <c r="F4" s="251"/>
      <c r="G4" s="251"/>
      <c r="H4" s="251"/>
      <c r="I4" s="251"/>
      <c r="J4" s="252"/>
    </row>
    <row r="5" spans="1:10">
      <c r="B5" s="87" t="s">
        <v>83</v>
      </c>
      <c r="C5" s="240" t="s">
        <v>259</v>
      </c>
      <c r="D5" s="240"/>
      <c r="E5" s="240"/>
      <c r="F5" s="240"/>
      <c r="G5" s="240"/>
      <c r="H5" s="240"/>
      <c r="I5" s="240"/>
      <c r="J5" s="241"/>
    </row>
    <row r="6" spans="1:10" ht="16.5" customHeight="1" thickBot="1">
      <c r="A6" s="4"/>
      <c r="B6" s="88" t="s">
        <v>5</v>
      </c>
      <c r="C6" s="242" t="s">
        <v>26</v>
      </c>
      <c r="D6" s="242"/>
      <c r="E6" s="242"/>
      <c r="F6" s="242"/>
      <c r="G6" s="242"/>
      <c r="H6" s="242"/>
      <c r="I6" s="242"/>
      <c r="J6" s="243"/>
    </row>
    <row r="7" spans="1:10" ht="6.6" customHeight="1" thickBot="1">
      <c r="A7" s="4"/>
      <c r="C7" s="84"/>
      <c r="D7" s="84"/>
      <c r="E7" s="84"/>
      <c r="F7" s="84"/>
      <c r="G7" s="84"/>
      <c r="H7" s="84"/>
      <c r="I7" s="84"/>
      <c r="J7" s="84"/>
    </row>
    <row r="8" spans="1:10" ht="16.5" customHeight="1">
      <c r="A8" s="4"/>
      <c r="B8" s="244" t="s">
        <v>102</v>
      </c>
      <c r="C8" s="91" t="s">
        <v>106</v>
      </c>
      <c r="D8" s="91" t="s">
        <v>103</v>
      </c>
      <c r="E8" s="91" t="s">
        <v>107</v>
      </c>
      <c r="F8" s="91" t="s">
        <v>104</v>
      </c>
      <c r="G8" s="91" t="s">
        <v>108</v>
      </c>
      <c r="H8" s="91" t="s">
        <v>105</v>
      </c>
      <c r="I8" s="91" t="s">
        <v>24</v>
      </c>
      <c r="J8" s="96" t="s">
        <v>2</v>
      </c>
    </row>
    <row r="9" spans="1:10">
      <c r="A9" s="4"/>
      <c r="B9" s="245"/>
      <c r="C9" s="28" t="s">
        <v>44</v>
      </c>
      <c r="D9" s="28" t="s">
        <v>72</v>
      </c>
      <c r="E9" s="28"/>
      <c r="F9" s="28"/>
      <c r="G9" s="28"/>
      <c r="H9" s="28"/>
      <c r="I9" s="28" t="s">
        <v>75</v>
      </c>
      <c r="J9" s="27" t="s">
        <v>27</v>
      </c>
    </row>
    <row r="10" spans="1:10">
      <c r="A10" s="4"/>
      <c r="B10" s="245"/>
      <c r="C10" s="28" t="s">
        <v>114</v>
      </c>
      <c r="D10" s="28" t="s">
        <v>72</v>
      </c>
      <c r="E10" s="28"/>
      <c r="F10" s="28"/>
      <c r="G10" s="28"/>
      <c r="H10" s="28"/>
      <c r="I10" s="28" t="s">
        <v>76</v>
      </c>
      <c r="J10" s="27" t="s">
        <v>28</v>
      </c>
    </row>
    <row r="11" spans="1:10">
      <c r="A11" s="4"/>
      <c r="B11" s="245"/>
      <c r="C11" s="31" t="s">
        <v>116</v>
      </c>
      <c r="D11" s="28" t="s">
        <v>72</v>
      </c>
      <c r="E11" s="28"/>
      <c r="F11" s="28"/>
      <c r="G11" s="28"/>
      <c r="H11" s="28"/>
      <c r="I11" s="28" t="s">
        <v>281</v>
      </c>
      <c r="J11" s="33" t="s">
        <v>260</v>
      </c>
    </row>
    <row r="12" spans="1:10" ht="16.8" thickBot="1">
      <c r="A12" s="4"/>
      <c r="B12" s="246"/>
      <c r="C12" s="30"/>
      <c r="D12" s="30"/>
      <c r="E12" s="30"/>
      <c r="F12" s="30"/>
      <c r="G12" s="30"/>
      <c r="H12" s="30"/>
      <c r="I12" s="30"/>
      <c r="J12" s="29"/>
    </row>
    <row r="13" spans="1:10">
      <c r="A13" s="84"/>
      <c r="B13" s="85"/>
      <c r="C13" s="83"/>
      <c r="D13" s="83"/>
      <c r="E13" s="83"/>
      <c r="F13" s="83"/>
      <c r="G13" s="83"/>
      <c r="H13" s="83"/>
      <c r="I13" s="83"/>
      <c r="J13" s="83"/>
    </row>
    <row r="14" spans="1:10" ht="16.8" thickBot="1">
      <c r="A14" s="84"/>
      <c r="B14" s="85"/>
      <c r="C14" s="83"/>
      <c r="D14" s="83"/>
      <c r="E14" s="83"/>
      <c r="F14" s="83"/>
      <c r="G14" s="83"/>
      <c r="H14" s="83"/>
      <c r="I14" s="83"/>
      <c r="J14" s="83"/>
    </row>
    <row r="15" spans="1:10" ht="16.2" customHeight="1">
      <c r="A15" s="84"/>
      <c r="B15" s="86" t="s">
        <v>42</v>
      </c>
      <c r="C15" s="251" t="s">
        <v>301</v>
      </c>
      <c r="D15" s="251"/>
      <c r="E15" s="251"/>
      <c r="F15" s="251"/>
      <c r="G15" s="251"/>
      <c r="H15" s="251"/>
      <c r="I15" s="251"/>
      <c r="J15" s="252"/>
    </row>
    <row r="16" spans="1:10">
      <c r="A16" s="84"/>
      <c r="B16" s="87" t="s">
        <v>83</v>
      </c>
      <c r="C16" s="240" t="s">
        <v>261</v>
      </c>
      <c r="D16" s="240"/>
      <c r="E16" s="240"/>
      <c r="F16" s="240"/>
      <c r="G16" s="240"/>
      <c r="H16" s="240"/>
      <c r="I16" s="240"/>
      <c r="J16" s="241"/>
    </row>
    <row r="17" spans="1:10" ht="16.8" thickBot="1">
      <c r="A17" s="4"/>
      <c r="B17" s="88" t="s">
        <v>5</v>
      </c>
      <c r="C17" s="242" t="s">
        <v>46</v>
      </c>
      <c r="D17" s="242"/>
      <c r="E17" s="242"/>
      <c r="F17" s="242"/>
      <c r="G17" s="242"/>
      <c r="H17" s="242"/>
      <c r="I17" s="242"/>
      <c r="J17" s="243"/>
    </row>
    <row r="18" spans="1:10" ht="10.199999999999999" customHeight="1" thickBot="1">
      <c r="A18" s="4"/>
      <c r="C18" s="84"/>
      <c r="D18" s="84"/>
      <c r="E18" s="84"/>
      <c r="F18" s="84"/>
      <c r="G18" s="84"/>
      <c r="H18" s="84"/>
      <c r="I18" s="84"/>
      <c r="J18" s="84"/>
    </row>
    <row r="19" spans="1:10">
      <c r="B19" s="244" t="s">
        <v>102</v>
      </c>
      <c r="C19" s="91" t="s">
        <v>106</v>
      </c>
      <c r="D19" s="91" t="s">
        <v>103</v>
      </c>
      <c r="E19" s="91" t="s">
        <v>107</v>
      </c>
      <c r="F19" s="91" t="s">
        <v>104</v>
      </c>
      <c r="G19" s="91" t="s">
        <v>108</v>
      </c>
      <c r="H19" s="91" t="s">
        <v>105</v>
      </c>
      <c r="I19" s="91" t="s">
        <v>24</v>
      </c>
      <c r="J19" s="96" t="s">
        <v>2</v>
      </c>
    </row>
    <row r="20" spans="1:10">
      <c r="B20" s="245"/>
      <c r="C20" s="28" t="s">
        <v>44</v>
      </c>
      <c r="D20" s="28" t="s">
        <v>72</v>
      </c>
      <c r="E20" s="28"/>
      <c r="F20" s="28"/>
      <c r="G20" s="28"/>
      <c r="H20" s="28"/>
      <c r="I20" s="28" t="s">
        <v>75</v>
      </c>
      <c r="J20" s="27" t="s">
        <v>27</v>
      </c>
    </row>
    <row r="21" spans="1:10">
      <c r="B21" s="245"/>
      <c r="C21" s="28" t="s">
        <v>114</v>
      </c>
      <c r="D21" s="28" t="s">
        <v>72</v>
      </c>
      <c r="E21" s="28"/>
      <c r="F21" s="28"/>
      <c r="G21" s="28"/>
      <c r="H21" s="28"/>
      <c r="I21" s="28" t="s">
        <v>76</v>
      </c>
      <c r="J21" s="27" t="s">
        <v>28</v>
      </c>
    </row>
    <row r="22" spans="1:10">
      <c r="A22" s="4"/>
      <c r="B22" s="245"/>
      <c r="C22" s="31" t="s">
        <v>116</v>
      </c>
      <c r="D22" s="28" t="s">
        <v>72</v>
      </c>
      <c r="E22" s="28"/>
      <c r="F22" s="28"/>
      <c r="G22" s="28"/>
      <c r="H22" s="28"/>
      <c r="I22" s="28" t="s">
        <v>281</v>
      </c>
      <c r="J22" s="33" t="s">
        <v>260</v>
      </c>
    </row>
    <row r="23" spans="1:10">
      <c r="B23" s="245"/>
      <c r="C23" s="28" t="s">
        <v>118</v>
      </c>
      <c r="D23" s="28" t="s">
        <v>82</v>
      </c>
      <c r="E23" s="28"/>
      <c r="F23" s="28"/>
      <c r="G23" s="28"/>
      <c r="H23" s="28"/>
      <c r="I23" s="28" t="s">
        <v>77</v>
      </c>
      <c r="J23" s="32" t="s">
        <v>23</v>
      </c>
    </row>
    <row r="24" spans="1:10" ht="16.8" thickBot="1">
      <c r="B24" s="246"/>
      <c r="C24" s="30"/>
      <c r="D24" s="30"/>
      <c r="E24" s="30"/>
      <c r="F24" s="30"/>
      <c r="G24" s="30"/>
      <c r="H24" s="30"/>
      <c r="I24" s="30"/>
      <c r="J24" s="29"/>
    </row>
    <row r="25" spans="1:10">
      <c r="B25" s="85"/>
      <c r="C25" s="83"/>
      <c r="D25" s="83"/>
      <c r="E25" s="83"/>
      <c r="F25" s="83"/>
      <c r="G25" s="83"/>
      <c r="H25" s="83"/>
      <c r="I25" s="83"/>
      <c r="J25" s="83"/>
    </row>
    <row r="26" spans="1:10" ht="65.400000000000006" customHeight="1">
      <c r="B26" s="89" t="s">
        <v>74</v>
      </c>
      <c r="C26" s="247"/>
      <c r="D26" s="248"/>
      <c r="E26" s="248"/>
      <c r="F26" s="248"/>
      <c r="G26" s="248"/>
      <c r="H26" s="248"/>
      <c r="I26" s="248"/>
      <c r="J26" s="249"/>
    </row>
  </sheetData>
  <mergeCells count="10">
    <mergeCell ref="B19:B24"/>
    <mergeCell ref="C26:J26"/>
    <mergeCell ref="B8:B12"/>
    <mergeCell ref="C15:J15"/>
    <mergeCell ref="C16:J16"/>
    <mergeCell ref="A1:C3"/>
    <mergeCell ref="C6:J6"/>
    <mergeCell ref="C4:J4"/>
    <mergeCell ref="C5:J5"/>
    <mergeCell ref="C17:J17"/>
  </mergeCells>
  <phoneticPr fontId="1" type="noConversion"/>
  <conditionalFormatting sqref="C8:H8">
    <cfRule type="duplicateValues" dxfId="44" priority="2"/>
  </conditionalFormatting>
  <conditionalFormatting sqref="C19:H19">
    <cfRule type="duplicateValues" dxfId="43" priority="1"/>
  </conditionalFormatting>
  <hyperlinks>
    <hyperlink ref="A4" location="List!A1" display="LIST" xr:uid="{00000000-0004-0000-0700-000000000000}"/>
  </hyperlink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封裝程式殼層物件" shapeId="53253" r:id="rId4">
          <objectPr defaultSize="0" r:id="rId5">
            <anchor moveWithCells="1">
              <from>
                <xdr:col>2</xdr:col>
                <xdr:colOff>335280</xdr:colOff>
                <xdr:row>25</xdr:row>
                <xdr:rowOff>144780</xdr:rowOff>
              </from>
              <to>
                <xdr:col>3</xdr:col>
                <xdr:colOff>739140</xdr:colOff>
                <xdr:row>25</xdr:row>
                <xdr:rowOff>662940</xdr:rowOff>
              </to>
            </anchor>
          </objectPr>
        </oleObject>
      </mc:Choice>
      <mc:Fallback>
        <oleObject progId="封裝程式殼層物件" shapeId="53253" r:id="rId4"/>
      </mc:Fallback>
    </mc:AlternateContent>
    <mc:AlternateContent xmlns:mc="http://schemas.openxmlformats.org/markup-compatibility/2006">
      <mc:Choice Requires="x14">
        <oleObject progId="封裝程式殼層物件" shapeId="53254" r:id="rId6">
          <objectPr defaultSize="0" r:id="rId7">
            <anchor moveWithCells="1">
              <from>
                <xdr:col>3</xdr:col>
                <xdr:colOff>868680</xdr:colOff>
                <xdr:row>25</xdr:row>
                <xdr:rowOff>160020</xdr:rowOff>
              </from>
              <to>
                <xdr:col>5</xdr:col>
                <xdr:colOff>784860</xdr:colOff>
                <xdr:row>25</xdr:row>
                <xdr:rowOff>670560</xdr:rowOff>
              </to>
            </anchor>
          </objectPr>
        </oleObject>
      </mc:Choice>
      <mc:Fallback>
        <oleObject progId="封裝程式殼層物件" shapeId="53254" r:id="rId6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7"/>
  <sheetViews>
    <sheetView showGridLines="0" zoomScale="85" zoomScaleNormal="85" workbookViewId="0">
      <selection activeCell="F31" sqref="F31"/>
    </sheetView>
  </sheetViews>
  <sheetFormatPr defaultColWidth="9" defaultRowHeight="16.2"/>
  <cols>
    <col min="1" max="1" width="9" style="3"/>
    <col min="2" max="2" width="18.77734375" style="3" customWidth="1"/>
    <col min="3" max="3" width="18.6640625" style="3" customWidth="1"/>
    <col min="4" max="4" width="13" style="3" customWidth="1"/>
    <col min="5" max="5" width="17.88671875" style="3" customWidth="1"/>
    <col min="6" max="8" width="16.88671875" style="3" customWidth="1"/>
    <col min="9" max="9" width="30.33203125" style="3" customWidth="1"/>
    <col min="10" max="10" width="27.21875" style="3" customWidth="1"/>
    <col min="11" max="16384" width="9" style="3"/>
  </cols>
  <sheetData>
    <row r="1" spans="1:10">
      <c r="A1" s="250"/>
      <c r="B1" s="250"/>
      <c r="C1" s="250"/>
    </row>
    <row r="2" spans="1:10">
      <c r="A2" s="250"/>
      <c r="B2" s="250"/>
      <c r="C2" s="250"/>
    </row>
    <row r="3" spans="1:10" ht="16.8" thickBot="1">
      <c r="A3" s="250"/>
      <c r="B3" s="250"/>
      <c r="C3" s="250"/>
    </row>
    <row r="4" spans="1:10">
      <c r="A4" s="90" t="s">
        <v>0</v>
      </c>
      <c r="B4" s="86" t="s">
        <v>42</v>
      </c>
      <c r="C4" s="251" t="s">
        <v>298</v>
      </c>
      <c r="D4" s="251"/>
      <c r="E4" s="251"/>
      <c r="F4" s="251"/>
      <c r="G4" s="251"/>
      <c r="H4" s="251"/>
      <c r="I4" s="251"/>
      <c r="J4" s="252"/>
    </row>
    <row r="5" spans="1:10">
      <c r="B5" s="87" t="s">
        <v>83</v>
      </c>
      <c r="C5" s="240" t="s">
        <v>259</v>
      </c>
      <c r="D5" s="240"/>
      <c r="E5" s="240"/>
      <c r="F5" s="240"/>
      <c r="G5" s="240"/>
      <c r="H5" s="240"/>
      <c r="I5" s="240"/>
      <c r="J5" s="241"/>
    </row>
    <row r="6" spans="1:10" ht="16.5" customHeight="1" thickBot="1">
      <c r="A6" s="4"/>
      <c r="B6" s="88" t="s">
        <v>5</v>
      </c>
      <c r="C6" s="242" t="s">
        <v>86</v>
      </c>
      <c r="D6" s="242"/>
      <c r="E6" s="242"/>
      <c r="F6" s="242"/>
      <c r="G6" s="242"/>
      <c r="H6" s="242"/>
      <c r="I6" s="242"/>
      <c r="J6" s="243"/>
    </row>
    <row r="7" spans="1:10" ht="6.6" customHeight="1" thickBot="1">
      <c r="A7" s="4"/>
      <c r="C7" s="84"/>
      <c r="D7" s="84"/>
      <c r="E7" s="84"/>
      <c r="F7" s="84"/>
      <c r="G7" s="84"/>
      <c r="H7" s="84"/>
      <c r="I7" s="84"/>
      <c r="J7" s="84"/>
    </row>
    <row r="8" spans="1:10" ht="16.5" customHeight="1">
      <c r="A8" s="4"/>
      <c r="B8" s="244" t="s">
        <v>102</v>
      </c>
      <c r="C8" s="91" t="s">
        <v>106</v>
      </c>
      <c r="D8" s="91" t="s">
        <v>103</v>
      </c>
      <c r="E8" s="91" t="s">
        <v>107</v>
      </c>
      <c r="F8" s="91" t="s">
        <v>104</v>
      </c>
      <c r="G8" s="91" t="s">
        <v>108</v>
      </c>
      <c r="H8" s="91" t="s">
        <v>105</v>
      </c>
      <c r="I8" s="91" t="s">
        <v>24</v>
      </c>
      <c r="J8" s="96" t="s">
        <v>2</v>
      </c>
    </row>
    <row r="9" spans="1:10">
      <c r="A9" s="4"/>
      <c r="B9" s="245"/>
      <c r="C9" s="28" t="s">
        <v>41</v>
      </c>
      <c r="D9" s="28" t="s">
        <v>72</v>
      </c>
      <c r="E9" s="28"/>
      <c r="F9" s="28"/>
      <c r="G9" s="28"/>
      <c r="H9" s="28"/>
      <c r="I9" s="28" t="s">
        <v>75</v>
      </c>
      <c r="J9" s="27" t="s">
        <v>27</v>
      </c>
    </row>
    <row r="10" spans="1:10">
      <c r="A10" s="4"/>
      <c r="B10" s="245"/>
      <c r="C10" s="28" t="s">
        <v>114</v>
      </c>
      <c r="D10" s="28" t="s">
        <v>72</v>
      </c>
      <c r="E10" s="28"/>
      <c r="F10" s="28"/>
      <c r="G10" s="28"/>
      <c r="H10" s="28"/>
      <c r="I10" s="28" t="s">
        <v>76</v>
      </c>
      <c r="J10" s="27" t="s">
        <v>28</v>
      </c>
    </row>
    <row r="11" spans="1:10">
      <c r="A11" s="4"/>
      <c r="B11" s="245"/>
      <c r="C11" s="31" t="s">
        <v>116</v>
      </c>
      <c r="D11" s="28" t="s">
        <v>72</v>
      </c>
      <c r="E11" s="28"/>
      <c r="F11" s="28"/>
      <c r="G11" s="28"/>
      <c r="H11" s="28"/>
      <c r="I11" s="28" t="s">
        <v>281</v>
      </c>
      <c r="J11" s="33" t="s">
        <v>260</v>
      </c>
    </row>
    <row r="12" spans="1:10">
      <c r="A12" s="4"/>
      <c r="B12" s="245"/>
      <c r="C12" s="31" t="s">
        <v>121</v>
      </c>
      <c r="D12" s="28" t="s">
        <v>72</v>
      </c>
      <c r="E12" s="28"/>
      <c r="F12" s="28"/>
      <c r="G12" s="28"/>
      <c r="H12" s="28"/>
      <c r="I12" s="28" t="s">
        <v>87</v>
      </c>
      <c r="J12" s="94" t="s">
        <v>34</v>
      </c>
    </row>
    <row r="13" spans="1:10">
      <c r="A13" s="4"/>
      <c r="B13" s="245"/>
      <c r="C13" s="28"/>
      <c r="D13" s="28"/>
      <c r="E13" s="28"/>
      <c r="F13" s="28"/>
      <c r="G13" s="28"/>
      <c r="H13" s="28"/>
      <c r="I13" s="28"/>
      <c r="J13" s="27"/>
    </row>
    <row r="14" spans="1:10" ht="16.8" thickBot="1">
      <c r="A14" s="4"/>
      <c r="B14" s="246"/>
      <c r="C14" s="30"/>
      <c r="D14" s="30"/>
      <c r="E14" s="30"/>
      <c r="F14" s="30"/>
      <c r="G14" s="30"/>
      <c r="H14" s="30"/>
      <c r="I14" s="30"/>
      <c r="J14" s="29"/>
    </row>
    <row r="15" spans="1:10">
      <c r="A15" s="84"/>
      <c r="B15" s="85"/>
      <c r="C15" s="83"/>
      <c r="D15" s="83"/>
      <c r="E15" s="83"/>
      <c r="F15" s="83"/>
      <c r="G15" s="83"/>
      <c r="H15" s="83"/>
      <c r="I15" s="83"/>
      <c r="J15" s="83"/>
    </row>
    <row r="16" spans="1:10" ht="16.8" thickBot="1">
      <c r="A16" s="84"/>
      <c r="B16" s="85"/>
      <c r="C16" s="83"/>
      <c r="D16" s="83"/>
      <c r="E16" s="83"/>
      <c r="F16" s="83"/>
      <c r="G16" s="83"/>
      <c r="H16" s="83"/>
      <c r="I16" s="83"/>
      <c r="J16" s="83"/>
    </row>
    <row r="17" spans="1:10" ht="16.2" customHeight="1">
      <c r="A17" s="84"/>
      <c r="B17" s="86" t="s">
        <v>42</v>
      </c>
      <c r="C17" s="251" t="s">
        <v>299</v>
      </c>
      <c r="D17" s="251"/>
      <c r="E17" s="251"/>
      <c r="F17" s="251"/>
      <c r="G17" s="251"/>
      <c r="H17" s="251"/>
      <c r="I17" s="251"/>
      <c r="J17" s="252"/>
    </row>
    <row r="18" spans="1:10">
      <c r="A18" s="84"/>
      <c r="B18" s="87" t="s">
        <v>83</v>
      </c>
      <c r="C18" s="240" t="s">
        <v>261</v>
      </c>
      <c r="D18" s="240"/>
      <c r="E18" s="240"/>
      <c r="F18" s="240"/>
      <c r="G18" s="240"/>
      <c r="H18" s="240"/>
      <c r="I18" s="240"/>
      <c r="J18" s="241"/>
    </row>
    <row r="19" spans="1:10" ht="16.8" thickBot="1">
      <c r="A19" s="4"/>
      <c r="B19" s="88" t="s">
        <v>5</v>
      </c>
      <c r="C19" s="242" t="s">
        <v>88</v>
      </c>
      <c r="D19" s="242"/>
      <c r="E19" s="242"/>
      <c r="F19" s="242"/>
      <c r="G19" s="242"/>
      <c r="H19" s="242"/>
      <c r="I19" s="242"/>
      <c r="J19" s="243"/>
    </row>
    <row r="20" spans="1:10" ht="10.199999999999999" customHeight="1" thickBot="1">
      <c r="A20" s="4"/>
      <c r="C20" s="84"/>
      <c r="D20" s="84"/>
      <c r="E20" s="84"/>
      <c r="F20" s="84"/>
      <c r="G20" s="84"/>
      <c r="H20" s="84"/>
      <c r="I20" s="84"/>
      <c r="J20" s="84"/>
    </row>
    <row r="21" spans="1:10">
      <c r="B21" s="244" t="s">
        <v>102</v>
      </c>
      <c r="C21" s="91" t="s">
        <v>106</v>
      </c>
      <c r="D21" s="91" t="s">
        <v>103</v>
      </c>
      <c r="E21" s="91" t="s">
        <v>107</v>
      </c>
      <c r="F21" s="91" t="s">
        <v>104</v>
      </c>
      <c r="G21" s="91" t="s">
        <v>108</v>
      </c>
      <c r="H21" s="91" t="s">
        <v>105</v>
      </c>
      <c r="I21" s="91" t="s">
        <v>24</v>
      </c>
      <c r="J21" s="96" t="s">
        <v>2</v>
      </c>
    </row>
    <row r="22" spans="1:10">
      <c r="B22" s="245"/>
      <c r="C22" s="28" t="s">
        <v>41</v>
      </c>
      <c r="D22" s="28" t="s">
        <v>72</v>
      </c>
      <c r="E22" s="28"/>
      <c r="F22" s="28"/>
      <c r="G22" s="28"/>
      <c r="H22" s="28"/>
      <c r="I22" s="28" t="s">
        <v>75</v>
      </c>
      <c r="J22" s="27" t="s">
        <v>27</v>
      </c>
    </row>
    <row r="23" spans="1:10">
      <c r="B23" s="245"/>
      <c r="C23" s="28" t="s">
        <v>114</v>
      </c>
      <c r="D23" s="28" t="s">
        <v>72</v>
      </c>
      <c r="E23" s="28"/>
      <c r="F23" s="28"/>
      <c r="G23" s="28"/>
      <c r="H23" s="28"/>
      <c r="I23" s="28" t="s">
        <v>76</v>
      </c>
      <c r="J23" s="27" t="s">
        <v>28</v>
      </c>
    </row>
    <row r="24" spans="1:10">
      <c r="B24" s="245"/>
      <c r="C24" s="31" t="s">
        <v>116</v>
      </c>
      <c r="D24" s="28" t="s">
        <v>72</v>
      </c>
      <c r="E24" s="28"/>
      <c r="F24" s="28"/>
      <c r="G24" s="28"/>
      <c r="H24" s="28"/>
      <c r="I24" s="28" t="s">
        <v>281</v>
      </c>
      <c r="J24" s="33" t="s">
        <v>260</v>
      </c>
    </row>
    <row r="25" spans="1:10" ht="16.8" thickBot="1">
      <c r="B25" s="246"/>
      <c r="C25" s="30"/>
      <c r="D25" s="30"/>
      <c r="E25" s="30"/>
      <c r="F25" s="30"/>
      <c r="G25" s="30"/>
      <c r="H25" s="30"/>
      <c r="I25" s="30"/>
      <c r="J25" s="29"/>
    </row>
    <row r="26" spans="1:10">
      <c r="B26" s="85"/>
      <c r="C26" s="83"/>
      <c r="D26" s="83"/>
      <c r="E26" s="83"/>
      <c r="F26" s="83"/>
      <c r="G26" s="83"/>
      <c r="H26" s="83"/>
      <c r="I26" s="83"/>
      <c r="J26" s="83"/>
    </row>
    <row r="27" spans="1:10" ht="65.400000000000006" customHeight="1">
      <c r="B27" s="89" t="s">
        <v>74</v>
      </c>
      <c r="C27" s="247"/>
      <c r="D27" s="248"/>
      <c r="E27" s="248"/>
      <c r="F27" s="248"/>
      <c r="G27" s="248"/>
      <c r="H27" s="248"/>
      <c r="I27" s="248"/>
      <c r="J27" s="249"/>
    </row>
  </sheetData>
  <mergeCells count="10">
    <mergeCell ref="C18:J18"/>
    <mergeCell ref="C19:J19"/>
    <mergeCell ref="B21:B25"/>
    <mergeCell ref="C27:J27"/>
    <mergeCell ref="A1:C3"/>
    <mergeCell ref="C4:J4"/>
    <mergeCell ref="C5:J5"/>
    <mergeCell ref="C6:J6"/>
    <mergeCell ref="B8:B14"/>
    <mergeCell ref="C17:J17"/>
  </mergeCells>
  <phoneticPr fontId="1" type="noConversion"/>
  <conditionalFormatting sqref="C8:H8">
    <cfRule type="duplicateValues" dxfId="42" priority="2"/>
  </conditionalFormatting>
  <conditionalFormatting sqref="C21:H21">
    <cfRule type="duplicateValues" dxfId="41" priority="1"/>
  </conditionalFormatting>
  <hyperlinks>
    <hyperlink ref="A4" location="List!A1" display="LIST" xr:uid="{00000000-0004-0000-0800-000000000000}"/>
  </hyperlink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封裝程式殼層物件" shapeId="51209" r:id="rId4">
          <objectPr defaultSize="0" r:id="rId5">
            <anchor moveWithCells="1">
              <from>
                <xdr:col>2</xdr:col>
                <xdr:colOff>502920</xdr:colOff>
                <xdr:row>26</xdr:row>
                <xdr:rowOff>144780</xdr:rowOff>
              </from>
              <to>
                <xdr:col>3</xdr:col>
                <xdr:colOff>502920</xdr:colOff>
                <xdr:row>26</xdr:row>
                <xdr:rowOff>662940</xdr:rowOff>
              </to>
            </anchor>
          </objectPr>
        </oleObject>
      </mc:Choice>
      <mc:Fallback>
        <oleObject progId="封裝程式殼層物件" shapeId="51209" r:id="rId4"/>
      </mc:Fallback>
    </mc:AlternateContent>
    <mc:AlternateContent xmlns:mc="http://schemas.openxmlformats.org/markup-compatibility/2006">
      <mc:Choice Requires="x14">
        <oleObject progId="封裝程式殼層物件" shapeId="51210" r:id="rId6">
          <objectPr defaultSize="0" r:id="rId7">
            <anchor moveWithCells="1">
              <from>
                <xdr:col>3</xdr:col>
                <xdr:colOff>617220</xdr:colOff>
                <xdr:row>26</xdr:row>
                <xdr:rowOff>160020</xdr:rowOff>
              </from>
              <to>
                <xdr:col>5</xdr:col>
                <xdr:colOff>137160</xdr:colOff>
                <xdr:row>26</xdr:row>
                <xdr:rowOff>670560</xdr:rowOff>
              </to>
            </anchor>
          </objectPr>
        </oleObject>
      </mc:Choice>
      <mc:Fallback>
        <oleObject progId="封裝程式殼層物件" shapeId="51210" r:id="rId6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4"/>
  <sheetViews>
    <sheetView showGridLines="0" topLeftCell="A6" zoomScale="85" zoomScaleNormal="85" workbookViewId="0">
      <selection activeCell="C34" sqref="C34:J34"/>
    </sheetView>
  </sheetViews>
  <sheetFormatPr defaultColWidth="9" defaultRowHeight="16.2"/>
  <cols>
    <col min="1" max="1" width="9" style="3"/>
    <col min="2" max="2" width="18.77734375" style="3" customWidth="1"/>
    <col min="3" max="3" width="18.6640625" style="3" customWidth="1"/>
    <col min="4" max="4" width="15" style="3" customWidth="1"/>
    <col min="5" max="5" width="17.88671875" style="3" customWidth="1"/>
    <col min="6" max="7" width="16.88671875" style="3" customWidth="1"/>
    <col min="8" max="8" width="13" style="3" customWidth="1"/>
    <col min="9" max="9" width="31.33203125" style="3" customWidth="1"/>
    <col min="10" max="10" width="77.33203125" style="3" customWidth="1"/>
    <col min="11" max="16384" width="9" style="3"/>
  </cols>
  <sheetData>
    <row r="1" spans="1:10">
      <c r="A1" s="250"/>
      <c r="B1" s="250"/>
      <c r="C1" s="250"/>
    </row>
    <row r="2" spans="1:10">
      <c r="A2" s="250"/>
      <c r="B2" s="250"/>
      <c r="C2" s="250"/>
    </row>
    <row r="3" spans="1:10" ht="16.8" thickBot="1">
      <c r="A3" s="250"/>
      <c r="B3" s="250"/>
      <c r="C3" s="250"/>
    </row>
    <row r="4" spans="1:10">
      <c r="A4" s="90" t="s">
        <v>0</v>
      </c>
      <c r="B4" s="86" t="s">
        <v>42</v>
      </c>
      <c r="C4" s="251" t="s">
        <v>296</v>
      </c>
      <c r="D4" s="251"/>
      <c r="E4" s="251"/>
      <c r="F4" s="251"/>
      <c r="G4" s="251"/>
      <c r="H4" s="251"/>
      <c r="I4" s="251"/>
      <c r="J4" s="252"/>
    </row>
    <row r="5" spans="1:10">
      <c r="B5" s="87" t="s">
        <v>83</v>
      </c>
      <c r="C5" s="240" t="s">
        <v>259</v>
      </c>
      <c r="D5" s="240"/>
      <c r="E5" s="240"/>
      <c r="F5" s="240"/>
      <c r="G5" s="240"/>
      <c r="H5" s="240"/>
      <c r="I5" s="240"/>
      <c r="J5" s="241"/>
    </row>
    <row r="6" spans="1:10" ht="16.5" customHeight="1" thickBot="1">
      <c r="A6" s="4"/>
      <c r="B6" s="88" t="s">
        <v>5</v>
      </c>
      <c r="C6" s="242" t="s">
        <v>32</v>
      </c>
      <c r="D6" s="242"/>
      <c r="E6" s="242"/>
      <c r="F6" s="242"/>
      <c r="G6" s="242"/>
      <c r="H6" s="242"/>
      <c r="I6" s="242"/>
      <c r="J6" s="243"/>
    </row>
    <row r="7" spans="1:10" ht="6.6" customHeight="1" thickBot="1">
      <c r="A7" s="4"/>
      <c r="C7" s="84"/>
      <c r="D7" s="84"/>
      <c r="E7" s="84"/>
      <c r="F7" s="84"/>
      <c r="G7" s="84"/>
      <c r="H7" s="84"/>
      <c r="I7" s="84"/>
      <c r="J7" s="84"/>
    </row>
    <row r="8" spans="1:10" ht="16.5" customHeight="1">
      <c r="A8" s="4"/>
      <c r="B8" s="244" t="s">
        <v>102</v>
      </c>
      <c r="C8" s="91" t="s">
        <v>106</v>
      </c>
      <c r="D8" s="91" t="s">
        <v>103</v>
      </c>
      <c r="E8" s="91" t="s">
        <v>107</v>
      </c>
      <c r="F8" s="91" t="s">
        <v>104</v>
      </c>
      <c r="G8" s="91" t="s">
        <v>108</v>
      </c>
      <c r="H8" s="91" t="s">
        <v>105</v>
      </c>
      <c r="I8" s="91" t="s">
        <v>24</v>
      </c>
      <c r="J8" s="96" t="s">
        <v>2</v>
      </c>
    </row>
    <row r="9" spans="1:10">
      <c r="A9" s="4"/>
      <c r="B9" s="245"/>
      <c r="C9" s="28" t="s">
        <v>41</v>
      </c>
      <c r="D9" s="28" t="s">
        <v>72</v>
      </c>
      <c r="E9" s="28"/>
      <c r="F9" s="28"/>
      <c r="G9" s="28"/>
      <c r="H9" s="28"/>
      <c r="I9" s="28" t="s">
        <v>75</v>
      </c>
      <c r="J9" s="27" t="s">
        <v>27</v>
      </c>
    </row>
    <row r="10" spans="1:10">
      <c r="A10" s="4"/>
      <c r="B10" s="245"/>
      <c r="C10" s="28" t="s">
        <v>114</v>
      </c>
      <c r="D10" s="28" t="s">
        <v>72</v>
      </c>
      <c r="E10" s="28"/>
      <c r="F10" s="28"/>
      <c r="G10" s="28"/>
      <c r="H10" s="28"/>
      <c r="I10" s="28" t="s">
        <v>76</v>
      </c>
      <c r="J10" s="27" t="s">
        <v>28</v>
      </c>
    </row>
    <row r="11" spans="1:10">
      <c r="A11" s="4"/>
      <c r="B11" s="245"/>
      <c r="C11" s="31" t="s">
        <v>116</v>
      </c>
      <c r="D11" s="28" t="s">
        <v>72</v>
      </c>
      <c r="E11" s="28"/>
      <c r="F11" s="28"/>
      <c r="G11" s="28"/>
      <c r="H11" s="28"/>
      <c r="I11" s="28" t="s">
        <v>281</v>
      </c>
      <c r="J11" s="33" t="s">
        <v>262</v>
      </c>
    </row>
    <row r="12" spans="1:10">
      <c r="A12" s="4"/>
      <c r="B12" s="245"/>
      <c r="C12" s="31" t="s">
        <v>133</v>
      </c>
      <c r="D12" s="28" t="s">
        <v>72</v>
      </c>
      <c r="E12" s="28"/>
      <c r="F12" s="28"/>
      <c r="G12" s="28"/>
      <c r="H12" s="28"/>
      <c r="I12" s="28" t="s">
        <v>283</v>
      </c>
      <c r="J12" s="33" t="s">
        <v>286</v>
      </c>
    </row>
    <row r="13" spans="1:10">
      <c r="A13" s="4"/>
      <c r="B13" s="245"/>
      <c r="C13" s="36" t="s">
        <v>126</v>
      </c>
      <c r="D13" s="28" t="s">
        <v>72</v>
      </c>
      <c r="E13" s="28"/>
      <c r="F13" s="28"/>
      <c r="G13" s="28"/>
      <c r="H13" s="28"/>
      <c r="I13" s="36" t="s">
        <v>282</v>
      </c>
      <c r="J13" s="33" t="s">
        <v>285</v>
      </c>
    </row>
    <row r="14" spans="1:10">
      <c r="A14" s="4"/>
      <c r="B14" s="245"/>
      <c r="C14" s="36" t="s">
        <v>127</v>
      </c>
      <c r="D14" s="28" t="s">
        <v>72</v>
      </c>
      <c r="E14" s="28"/>
      <c r="F14" s="28"/>
      <c r="G14" s="28"/>
      <c r="H14" s="28"/>
      <c r="I14" s="36" t="s">
        <v>284</v>
      </c>
      <c r="J14" s="33" t="s">
        <v>287</v>
      </c>
    </row>
    <row r="15" spans="1:10" ht="171.6">
      <c r="A15" s="4"/>
      <c r="B15" s="245"/>
      <c r="C15" s="34" t="s">
        <v>128</v>
      </c>
      <c r="D15" s="28" t="s">
        <v>137</v>
      </c>
      <c r="E15" s="28"/>
      <c r="F15" s="28"/>
      <c r="G15" s="28"/>
      <c r="H15" s="28"/>
      <c r="I15" s="34" t="s">
        <v>94</v>
      </c>
      <c r="J15" s="33" t="s">
        <v>138</v>
      </c>
    </row>
    <row r="16" spans="1:10">
      <c r="A16" s="4"/>
      <c r="B16" s="245"/>
      <c r="C16" s="28" t="s">
        <v>129</v>
      </c>
      <c r="D16" s="28" t="s">
        <v>72</v>
      </c>
      <c r="E16" s="28"/>
      <c r="F16" s="28"/>
      <c r="G16" s="28"/>
      <c r="H16" s="28"/>
      <c r="I16" s="28" t="s">
        <v>90</v>
      </c>
      <c r="J16" s="33" t="s">
        <v>29</v>
      </c>
    </row>
    <row r="17" spans="1:10">
      <c r="A17" s="4"/>
      <c r="B17" s="245"/>
      <c r="C17" s="28" t="s">
        <v>130</v>
      </c>
      <c r="D17" s="28" t="s">
        <v>91</v>
      </c>
      <c r="E17" s="28"/>
      <c r="F17" s="28"/>
      <c r="G17" s="28"/>
      <c r="H17" s="28"/>
      <c r="I17" s="28" t="s">
        <v>95</v>
      </c>
      <c r="J17" s="33" t="s">
        <v>30</v>
      </c>
    </row>
    <row r="18" spans="1:10">
      <c r="A18" s="4"/>
      <c r="B18" s="245"/>
      <c r="C18" s="28" t="s">
        <v>131</v>
      </c>
      <c r="D18" s="28" t="s">
        <v>72</v>
      </c>
      <c r="E18" s="28"/>
      <c r="F18" s="28"/>
      <c r="G18" s="28"/>
      <c r="H18" s="28"/>
      <c r="I18" s="28" t="s">
        <v>92</v>
      </c>
      <c r="J18" s="33" t="s">
        <v>31</v>
      </c>
    </row>
    <row r="19" spans="1:10" ht="31.2">
      <c r="A19" s="4"/>
      <c r="B19" s="245"/>
      <c r="C19" s="34" t="s">
        <v>132</v>
      </c>
      <c r="D19" s="28" t="s">
        <v>72</v>
      </c>
      <c r="E19" s="28"/>
      <c r="F19" s="28"/>
      <c r="G19" s="28"/>
      <c r="H19" s="28"/>
      <c r="I19" s="51" t="s">
        <v>93</v>
      </c>
      <c r="J19" s="33" t="s">
        <v>96</v>
      </c>
    </row>
    <row r="20" spans="1:10">
      <c r="A20" s="4"/>
      <c r="B20" s="245"/>
      <c r="C20" s="28" t="s">
        <v>205</v>
      </c>
      <c r="D20" s="28" t="s">
        <v>82</v>
      </c>
      <c r="E20" s="28"/>
      <c r="F20" s="28"/>
      <c r="G20" s="28"/>
      <c r="H20" s="28"/>
      <c r="I20" s="28" t="s">
        <v>77</v>
      </c>
      <c r="J20" s="109" t="s">
        <v>206</v>
      </c>
    </row>
    <row r="21" spans="1:10" ht="16.8" thickBot="1">
      <c r="A21" s="4"/>
      <c r="B21" s="246"/>
      <c r="C21" s="30"/>
      <c r="D21" s="30"/>
      <c r="E21" s="30"/>
      <c r="F21" s="30"/>
      <c r="G21" s="30"/>
      <c r="H21" s="30"/>
      <c r="I21" s="30"/>
      <c r="J21" s="29"/>
    </row>
    <row r="22" spans="1:10">
      <c r="A22" s="84"/>
      <c r="B22" s="85"/>
      <c r="C22" s="83"/>
      <c r="D22" s="83"/>
      <c r="E22" s="83"/>
      <c r="F22" s="83"/>
      <c r="G22" s="83"/>
      <c r="H22" s="83"/>
      <c r="I22" s="83"/>
      <c r="J22" s="83"/>
    </row>
    <row r="23" spans="1:10" ht="16.8" thickBot="1">
      <c r="A23" s="84"/>
      <c r="B23" s="85"/>
      <c r="C23" s="83"/>
      <c r="D23" s="83"/>
      <c r="E23" s="83"/>
      <c r="F23" s="83"/>
      <c r="G23" s="83"/>
      <c r="H23" s="83"/>
      <c r="I23" s="83"/>
      <c r="J23" s="83"/>
    </row>
    <row r="24" spans="1:10" ht="16.2" customHeight="1">
      <c r="A24" s="84"/>
      <c r="B24" s="86" t="s">
        <v>42</v>
      </c>
      <c r="C24" s="251" t="s">
        <v>297</v>
      </c>
      <c r="D24" s="251"/>
      <c r="E24" s="251"/>
      <c r="F24" s="251"/>
      <c r="G24" s="251"/>
      <c r="H24" s="251"/>
      <c r="I24" s="251"/>
      <c r="J24" s="252"/>
    </row>
    <row r="25" spans="1:10">
      <c r="A25" s="84"/>
      <c r="B25" s="87" t="s">
        <v>83</v>
      </c>
      <c r="C25" s="240" t="s">
        <v>261</v>
      </c>
      <c r="D25" s="240"/>
      <c r="E25" s="240"/>
      <c r="F25" s="240"/>
      <c r="G25" s="240"/>
      <c r="H25" s="240"/>
      <c r="I25" s="240"/>
      <c r="J25" s="241"/>
    </row>
    <row r="26" spans="1:10" ht="16.8" thickBot="1">
      <c r="A26" s="4"/>
      <c r="B26" s="88" t="s">
        <v>5</v>
      </c>
      <c r="C26" s="242" t="s">
        <v>89</v>
      </c>
      <c r="D26" s="242"/>
      <c r="E26" s="242"/>
      <c r="F26" s="242"/>
      <c r="G26" s="242"/>
      <c r="H26" s="242"/>
      <c r="I26" s="242"/>
      <c r="J26" s="243"/>
    </row>
    <row r="27" spans="1:10" ht="10.199999999999999" customHeight="1" thickBot="1">
      <c r="A27" s="4"/>
      <c r="C27" s="84"/>
      <c r="D27" s="84"/>
      <c r="E27" s="84"/>
      <c r="F27" s="84"/>
      <c r="G27" s="84"/>
      <c r="H27" s="84"/>
      <c r="I27" s="84"/>
      <c r="J27" s="84"/>
    </row>
    <row r="28" spans="1:10">
      <c r="B28" s="244" t="s">
        <v>102</v>
      </c>
      <c r="C28" s="91" t="s">
        <v>106</v>
      </c>
      <c r="D28" s="91" t="s">
        <v>103</v>
      </c>
      <c r="E28" s="91" t="s">
        <v>107</v>
      </c>
      <c r="F28" s="91" t="s">
        <v>104</v>
      </c>
      <c r="G28" s="91" t="s">
        <v>108</v>
      </c>
      <c r="H28" s="91" t="s">
        <v>105</v>
      </c>
      <c r="I28" s="91" t="s">
        <v>24</v>
      </c>
      <c r="J28" s="96" t="s">
        <v>2</v>
      </c>
    </row>
    <row r="29" spans="1:10">
      <c r="B29" s="245"/>
      <c r="C29" s="28" t="s">
        <v>41</v>
      </c>
      <c r="D29" s="28" t="s">
        <v>72</v>
      </c>
      <c r="E29" s="28"/>
      <c r="F29" s="28"/>
      <c r="G29" s="28"/>
      <c r="H29" s="28"/>
      <c r="I29" s="28" t="s">
        <v>75</v>
      </c>
      <c r="J29" s="27" t="s">
        <v>27</v>
      </c>
    </row>
    <row r="30" spans="1:10">
      <c r="B30" s="245"/>
      <c r="C30" s="28" t="s">
        <v>114</v>
      </c>
      <c r="D30" s="28" t="s">
        <v>72</v>
      </c>
      <c r="E30" s="28"/>
      <c r="F30" s="28"/>
      <c r="G30" s="28"/>
      <c r="H30" s="28"/>
      <c r="I30" s="28" t="s">
        <v>76</v>
      </c>
      <c r="J30" s="27" t="s">
        <v>28</v>
      </c>
    </row>
    <row r="31" spans="1:10">
      <c r="B31" s="245"/>
      <c r="C31" s="31" t="s">
        <v>116</v>
      </c>
      <c r="D31" s="28" t="s">
        <v>72</v>
      </c>
      <c r="E31" s="28"/>
      <c r="F31" s="28"/>
      <c r="G31" s="28"/>
      <c r="H31" s="28"/>
      <c r="I31" s="28" t="s">
        <v>281</v>
      </c>
      <c r="J31" s="33" t="s">
        <v>260</v>
      </c>
    </row>
    <row r="32" spans="1:10" ht="16.8" thickBot="1">
      <c r="B32" s="246"/>
      <c r="C32" s="30"/>
      <c r="D32" s="30"/>
      <c r="E32" s="30"/>
      <c r="F32" s="30"/>
      <c r="G32" s="30"/>
      <c r="H32" s="30"/>
      <c r="I32" s="30"/>
      <c r="J32" s="29"/>
    </row>
    <row r="33" spans="2:10">
      <c r="B33" s="85"/>
      <c r="C33" s="83"/>
      <c r="D33" s="83"/>
      <c r="E33" s="83"/>
      <c r="F33" s="83"/>
      <c r="G33" s="83"/>
      <c r="H33" s="83"/>
      <c r="I33" s="83"/>
      <c r="J33" s="83"/>
    </row>
    <row r="34" spans="2:10" ht="65.400000000000006" customHeight="1">
      <c r="B34" s="89" t="s">
        <v>74</v>
      </c>
      <c r="C34" s="247"/>
      <c r="D34" s="248"/>
      <c r="E34" s="248"/>
      <c r="F34" s="248"/>
      <c r="G34" s="248"/>
      <c r="H34" s="248"/>
      <c r="I34" s="248"/>
      <c r="J34" s="249"/>
    </row>
  </sheetData>
  <mergeCells count="10">
    <mergeCell ref="C25:J25"/>
    <mergeCell ref="C26:J26"/>
    <mergeCell ref="B28:B32"/>
    <mergeCell ref="C34:J34"/>
    <mergeCell ref="A1:C3"/>
    <mergeCell ref="C4:J4"/>
    <mergeCell ref="C5:J5"/>
    <mergeCell ref="C6:J6"/>
    <mergeCell ref="B8:B21"/>
    <mergeCell ref="C24:J24"/>
  </mergeCells>
  <phoneticPr fontId="1" type="noConversion"/>
  <conditionalFormatting sqref="C8:H8">
    <cfRule type="duplicateValues" dxfId="40" priority="2"/>
  </conditionalFormatting>
  <conditionalFormatting sqref="C28:H28">
    <cfRule type="duplicateValues" dxfId="39" priority="1"/>
  </conditionalFormatting>
  <hyperlinks>
    <hyperlink ref="A4" location="List!A1" display="LIST" xr:uid="{00000000-0004-0000-0900-000000000000}"/>
  </hyperlink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封裝程式殼層物件" shapeId="52235" r:id="rId4">
          <objectPr defaultSize="0" r:id="rId5">
            <anchor moveWithCells="1">
              <from>
                <xdr:col>2</xdr:col>
                <xdr:colOff>571500</xdr:colOff>
                <xdr:row>33</xdr:row>
                <xdr:rowOff>182880</xdr:rowOff>
              </from>
              <to>
                <xdr:col>3</xdr:col>
                <xdr:colOff>320040</xdr:colOff>
                <xdr:row>33</xdr:row>
                <xdr:rowOff>693420</xdr:rowOff>
              </to>
            </anchor>
          </objectPr>
        </oleObject>
      </mc:Choice>
      <mc:Fallback>
        <oleObject progId="封裝程式殼層物件" shapeId="52235" r:id="rId4"/>
      </mc:Fallback>
    </mc:AlternateContent>
    <mc:AlternateContent xmlns:mc="http://schemas.openxmlformats.org/markup-compatibility/2006">
      <mc:Choice Requires="x14">
        <oleObject progId="封裝程式殼層物件" shapeId="52236" r:id="rId6">
          <objectPr defaultSize="0" r:id="rId7">
            <anchor moveWithCells="1">
              <from>
                <xdr:col>3</xdr:col>
                <xdr:colOff>525780</xdr:colOff>
                <xdr:row>33</xdr:row>
                <xdr:rowOff>167640</xdr:rowOff>
              </from>
              <to>
                <xdr:col>4</xdr:col>
                <xdr:colOff>883920</xdr:colOff>
                <xdr:row>33</xdr:row>
                <xdr:rowOff>685800</xdr:rowOff>
              </to>
            </anchor>
          </objectPr>
        </oleObject>
      </mc:Choice>
      <mc:Fallback>
        <oleObject progId="封裝程式殼層物件" shapeId="52236" r:id="rId6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7"/>
  <sheetViews>
    <sheetView showGridLines="0" topLeftCell="A31" zoomScale="90" zoomScaleNormal="90" workbookViewId="0">
      <selection activeCell="H54" sqref="H54"/>
    </sheetView>
  </sheetViews>
  <sheetFormatPr defaultColWidth="9" defaultRowHeight="16.2"/>
  <cols>
    <col min="1" max="1" width="9" style="3"/>
    <col min="2" max="2" width="18.77734375" style="3" customWidth="1"/>
    <col min="3" max="3" width="11.44140625" style="3" bestFit="1" customWidth="1"/>
    <col min="4" max="4" width="13.44140625" style="3" bestFit="1" customWidth="1"/>
    <col min="5" max="5" width="9.88671875" style="3" bestFit="1" customWidth="1"/>
    <col min="6" max="6" width="8.6640625" style="3" bestFit="1" customWidth="1"/>
    <col min="7" max="7" width="17.109375" style="3" customWidth="1"/>
    <col min="8" max="8" width="13.88671875" style="3" customWidth="1"/>
    <col min="9" max="9" width="10.44140625" style="3" bestFit="1" customWidth="1"/>
    <col min="10" max="10" width="9.33203125" style="3" bestFit="1" customWidth="1"/>
    <col min="11" max="11" width="50.44140625" style="3" customWidth="1"/>
    <col min="12" max="12" width="60.21875" style="3" customWidth="1"/>
    <col min="13" max="16384" width="9" style="3"/>
  </cols>
  <sheetData>
    <row r="1" spans="1:12">
      <c r="A1" s="250"/>
      <c r="B1" s="250"/>
      <c r="C1" s="250"/>
    </row>
    <row r="2" spans="1:12">
      <c r="A2" s="250"/>
      <c r="B2" s="250"/>
      <c r="C2" s="250"/>
    </row>
    <row r="3" spans="1:12" ht="16.8" thickBot="1">
      <c r="A3" s="250"/>
      <c r="B3" s="250"/>
      <c r="C3" s="250"/>
    </row>
    <row r="4" spans="1:12">
      <c r="A4" s="90" t="s">
        <v>0</v>
      </c>
      <c r="B4" s="86" t="s">
        <v>42</v>
      </c>
      <c r="C4" s="251" t="s">
        <v>294</v>
      </c>
      <c r="D4" s="251"/>
      <c r="E4" s="251"/>
      <c r="F4" s="251"/>
      <c r="G4" s="251"/>
      <c r="H4" s="251"/>
      <c r="I4" s="251"/>
      <c r="J4" s="251"/>
      <c r="K4" s="251"/>
      <c r="L4" s="252"/>
    </row>
    <row r="5" spans="1:12">
      <c r="B5" s="87" t="s">
        <v>83</v>
      </c>
      <c r="C5" s="240" t="s">
        <v>263</v>
      </c>
      <c r="D5" s="240"/>
      <c r="E5" s="240"/>
      <c r="F5" s="240"/>
      <c r="G5" s="240"/>
      <c r="H5" s="240"/>
      <c r="I5" s="240"/>
      <c r="J5" s="240"/>
      <c r="K5" s="240"/>
      <c r="L5" s="241"/>
    </row>
    <row r="6" spans="1:12" ht="16.8" thickBot="1">
      <c r="A6" s="4"/>
      <c r="B6" s="88" t="s">
        <v>5</v>
      </c>
      <c r="C6" s="242" t="s">
        <v>344</v>
      </c>
      <c r="D6" s="242"/>
      <c r="E6" s="242"/>
      <c r="F6" s="242"/>
      <c r="G6" s="242"/>
      <c r="H6" s="242"/>
      <c r="I6" s="242"/>
      <c r="J6" s="242"/>
      <c r="K6" s="242"/>
      <c r="L6" s="243"/>
    </row>
    <row r="7" spans="1:12" ht="16.8" thickBot="1">
      <c r="A7" s="4"/>
      <c r="C7" s="84"/>
      <c r="D7" s="84"/>
      <c r="E7" s="84"/>
      <c r="F7" s="84"/>
      <c r="G7" s="84"/>
      <c r="H7" s="84"/>
      <c r="I7" s="84"/>
      <c r="J7" s="84"/>
      <c r="K7" s="84"/>
      <c r="L7" s="84"/>
    </row>
    <row r="8" spans="1:12">
      <c r="A8" s="4"/>
      <c r="B8" s="244" t="s">
        <v>102</v>
      </c>
      <c r="C8" s="91" t="s">
        <v>106</v>
      </c>
      <c r="D8" s="91" t="s">
        <v>103</v>
      </c>
      <c r="E8" s="91" t="s">
        <v>378</v>
      </c>
      <c r="F8" s="91" t="s">
        <v>104</v>
      </c>
      <c r="G8" s="91" t="s">
        <v>108</v>
      </c>
      <c r="H8" s="91" t="s">
        <v>105</v>
      </c>
      <c r="I8" s="91" t="s">
        <v>109</v>
      </c>
      <c r="J8" s="91" t="s">
        <v>110</v>
      </c>
      <c r="K8" s="91" t="s">
        <v>24</v>
      </c>
      <c r="L8" s="96" t="s">
        <v>2</v>
      </c>
    </row>
    <row r="9" spans="1:12">
      <c r="A9" s="4"/>
      <c r="B9" s="245"/>
      <c r="C9" s="28" t="s">
        <v>41</v>
      </c>
      <c r="D9" s="28" t="s">
        <v>72</v>
      </c>
      <c r="E9" s="28"/>
      <c r="F9" s="28"/>
      <c r="G9" s="28"/>
      <c r="H9" s="28"/>
      <c r="I9" s="28"/>
      <c r="J9" s="28"/>
      <c r="K9" s="28" t="s">
        <v>75</v>
      </c>
      <c r="L9" s="27" t="s">
        <v>27</v>
      </c>
    </row>
    <row r="10" spans="1:12">
      <c r="A10" s="4"/>
      <c r="B10" s="245"/>
      <c r="C10" s="28" t="s">
        <v>114</v>
      </c>
      <c r="D10" s="28" t="s">
        <v>72</v>
      </c>
      <c r="E10" s="28"/>
      <c r="F10" s="28"/>
      <c r="G10" s="28"/>
      <c r="H10" s="28"/>
      <c r="I10" s="28"/>
      <c r="J10" s="28"/>
      <c r="K10" s="28" t="s">
        <v>76</v>
      </c>
      <c r="L10" s="27" t="s">
        <v>28</v>
      </c>
    </row>
    <row r="11" spans="1:12">
      <c r="A11" s="4"/>
      <c r="B11" s="245"/>
      <c r="C11" s="28" t="s">
        <v>116</v>
      </c>
      <c r="D11" s="28" t="s">
        <v>72</v>
      </c>
      <c r="E11" s="28"/>
      <c r="F11" s="28"/>
      <c r="G11" s="28"/>
      <c r="H11" s="28"/>
      <c r="I11" s="28"/>
      <c r="J11" s="28"/>
      <c r="K11" s="28" t="s">
        <v>434</v>
      </c>
      <c r="L11" s="27" t="s">
        <v>260</v>
      </c>
    </row>
    <row r="12" spans="1:12">
      <c r="A12" s="4"/>
      <c r="B12" s="245"/>
      <c r="C12" s="99" t="s">
        <v>127</v>
      </c>
      <c r="D12" s="28" t="s">
        <v>72</v>
      </c>
      <c r="E12" s="28"/>
      <c r="F12" s="28"/>
      <c r="G12" s="28"/>
      <c r="H12" s="28"/>
      <c r="I12" s="28"/>
      <c r="J12" s="28"/>
      <c r="K12" s="28" t="s">
        <v>345</v>
      </c>
      <c r="L12" s="27" t="s">
        <v>461</v>
      </c>
    </row>
    <row r="13" spans="1:12">
      <c r="A13" s="4"/>
      <c r="B13" s="245"/>
      <c r="C13" s="98"/>
      <c r="D13" s="98"/>
      <c r="E13" s="98"/>
      <c r="F13" s="28"/>
      <c r="G13" s="100"/>
      <c r="H13" s="95"/>
      <c r="I13" s="100"/>
      <c r="J13" s="95"/>
      <c r="K13" s="34"/>
      <c r="L13" s="35"/>
    </row>
    <row r="14" spans="1:12" ht="16.8" thickBot="1">
      <c r="A14" s="4"/>
      <c r="B14" s="246"/>
      <c r="C14" s="30"/>
      <c r="D14" s="30"/>
      <c r="E14" s="30"/>
      <c r="F14" s="30"/>
      <c r="G14" s="30"/>
      <c r="H14" s="30"/>
      <c r="I14" s="30"/>
      <c r="J14" s="30"/>
      <c r="K14" s="30"/>
      <c r="L14" s="29"/>
    </row>
    <row r="15" spans="1:12">
      <c r="A15" s="84"/>
      <c r="B15" s="85"/>
      <c r="C15" s="83"/>
      <c r="D15" s="83"/>
      <c r="E15" s="83"/>
      <c r="F15" s="83"/>
      <c r="G15" s="83"/>
      <c r="H15" s="83"/>
      <c r="I15" s="83"/>
      <c r="J15" s="83"/>
      <c r="K15" s="83"/>
      <c r="L15" s="83"/>
    </row>
    <row r="16" spans="1:12" ht="16.8" thickBot="1">
      <c r="A16" s="84"/>
      <c r="B16" s="85"/>
      <c r="C16" s="83"/>
      <c r="D16" s="83"/>
      <c r="E16" s="83"/>
      <c r="F16" s="83"/>
      <c r="G16" s="83"/>
      <c r="H16" s="83"/>
      <c r="I16" s="83"/>
      <c r="J16" s="83"/>
      <c r="K16" s="83"/>
      <c r="L16" s="83"/>
    </row>
    <row r="17" spans="1:12">
      <c r="A17" s="84"/>
      <c r="B17" s="86" t="s">
        <v>42</v>
      </c>
      <c r="C17" s="251" t="s">
        <v>295</v>
      </c>
      <c r="D17" s="251"/>
      <c r="E17" s="251"/>
      <c r="F17" s="251"/>
      <c r="G17" s="251"/>
      <c r="H17" s="251"/>
      <c r="I17" s="251"/>
      <c r="J17" s="251"/>
      <c r="K17" s="251"/>
      <c r="L17" s="252"/>
    </row>
    <row r="18" spans="1:12">
      <c r="A18" s="84"/>
      <c r="B18" s="87" t="s">
        <v>83</v>
      </c>
      <c r="C18" s="240" t="s">
        <v>264</v>
      </c>
      <c r="D18" s="240"/>
      <c r="E18" s="240"/>
      <c r="F18" s="240"/>
      <c r="G18" s="240"/>
      <c r="H18" s="240"/>
      <c r="I18" s="240"/>
      <c r="J18" s="240"/>
      <c r="K18" s="240"/>
      <c r="L18" s="241"/>
    </row>
    <row r="19" spans="1:12" ht="16.8" thickBot="1">
      <c r="A19" s="4"/>
      <c r="B19" s="88" t="s">
        <v>5</v>
      </c>
      <c r="C19" s="242" t="s">
        <v>347</v>
      </c>
      <c r="D19" s="242"/>
      <c r="E19" s="242"/>
      <c r="F19" s="242"/>
      <c r="G19" s="242"/>
      <c r="H19" s="242"/>
      <c r="I19" s="242"/>
      <c r="J19" s="242"/>
      <c r="K19" s="242"/>
      <c r="L19" s="243"/>
    </row>
    <row r="20" spans="1:12" ht="16.8" thickBot="1">
      <c r="A20" s="4"/>
      <c r="C20" s="84"/>
      <c r="D20" s="84"/>
      <c r="E20" s="84"/>
      <c r="F20" s="84"/>
      <c r="G20" s="84"/>
      <c r="H20" s="84"/>
      <c r="I20" s="84"/>
      <c r="J20" s="84"/>
      <c r="K20" s="84"/>
      <c r="L20" s="84"/>
    </row>
    <row r="21" spans="1:12">
      <c r="B21" s="244" t="s">
        <v>102</v>
      </c>
      <c r="C21" s="91" t="s">
        <v>106</v>
      </c>
      <c r="D21" s="91" t="s">
        <v>103</v>
      </c>
      <c r="E21" s="91" t="s">
        <v>107</v>
      </c>
      <c r="F21" s="91" t="s">
        <v>104</v>
      </c>
      <c r="G21" s="91" t="s">
        <v>108</v>
      </c>
      <c r="H21" s="91" t="s">
        <v>105</v>
      </c>
      <c r="I21" s="91" t="s">
        <v>109</v>
      </c>
      <c r="J21" s="91" t="s">
        <v>110</v>
      </c>
      <c r="K21" s="91" t="s">
        <v>24</v>
      </c>
      <c r="L21" s="96" t="s">
        <v>2</v>
      </c>
    </row>
    <row r="22" spans="1:12">
      <c r="B22" s="245"/>
      <c r="C22" s="28" t="s">
        <v>41</v>
      </c>
      <c r="D22" s="28" t="s">
        <v>72</v>
      </c>
      <c r="E22" s="28"/>
      <c r="F22" s="28"/>
      <c r="G22" s="28"/>
      <c r="H22" s="28"/>
      <c r="I22" s="28"/>
      <c r="J22" s="28"/>
      <c r="K22" s="28" t="s">
        <v>75</v>
      </c>
      <c r="L22" s="27" t="s">
        <v>27</v>
      </c>
    </row>
    <row r="23" spans="1:12">
      <c r="B23" s="245"/>
      <c r="C23" s="28" t="s">
        <v>114</v>
      </c>
      <c r="D23" s="28" t="s">
        <v>72</v>
      </c>
      <c r="E23" s="28"/>
      <c r="F23" s="28"/>
      <c r="G23" s="28"/>
      <c r="H23" s="28"/>
      <c r="I23" s="28"/>
      <c r="J23" s="28"/>
      <c r="K23" s="28" t="s">
        <v>76</v>
      </c>
      <c r="L23" s="27" t="s">
        <v>28</v>
      </c>
    </row>
    <row r="24" spans="1:12">
      <c r="B24" s="245"/>
      <c r="C24" s="28" t="s">
        <v>116</v>
      </c>
      <c r="D24" s="28" t="s">
        <v>72</v>
      </c>
      <c r="E24" s="28"/>
      <c r="F24" s="28"/>
      <c r="G24" s="28"/>
      <c r="H24" s="28"/>
      <c r="I24" s="28"/>
      <c r="J24" s="28"/>
      <c r="K24" s="28" t="s">
        <v>281</v>
      </c>
      <c r="L24" s="27" t="s">
        <v>260</v>
      </c>
    </row>
    <row r="25" spans="1:12">
      <c r="B25" s="245"/>
      <c r="C25" s="28" t="s">
        <v>215</v>
      </c>
      <c r="D25" s="28" t="s">
        <v>462</v>
      </c>
      <c r="E25" s="28"/>
      <c r="F25" s="28"/>
      <c r="G25" s="28"/>
      <c r="H25" s="28"/>
      <c r="I25" s="28"/>
      <c r="J25" s="28"/>
      <c r="K25" s="28"/>
      <c r="L25" s="27"/>
    </row>
    <row r="26" spans="1:12">
      <c r="A26" s="4"/>
      <c r="B26" s="245"/>
      <c r="C26" s="28"/>
      <c r="D26" s="28"/>
      <c r="E26" s="28" t="s">
        <v>217</v>
      </c>
      <c r="F26" s="28" t="s">
        <v>97</v>
      </c>
      <c r="G26" s="28"/>
      <c r="H26" s="28"/>
      <c r="I26" s="28"/>
      <c r="J26" s="28"/>
      <c r="K26" s="28"/>
      <c r="L26" s="133"/>
    </row>
    <row r="27" spans="1:12">
      <c r="A27" s="4"/>
      <c r="B27" s="245"/>
      <c r="C27" s="99"/>
      <c r="D27" s="28"/>
      <c r="E27" s="99"/>
      <c r="F27" s="28"/>
      <c r="G27" s="99" t="s">
        <v>219</v>
      </c>
      <c r="H27" s="28" t="s">
        <v>72</v>
      </c>
      <c r="I27" s="28"/>
      <c r="J27" s="28"/>
      <c r="K27" s="28" t="s">
        <v>232</v>
      </c>
      <c r="L27" s="27" t="s">
        <v>435</v>
      </c>
    </row>
    <row r="28" spans="1:12" ht="31.2">
      <c r="A28" s="4"/>
      <c r="B28" s="245"/>
      <c r="C28" s="28"/>
      <c r="D28" s="28"/>
      <c r="E28" s="95"/>
      <c r="F28" s="95"/>
      <c r="G28" s="95" t="s">
        <v>220</v>
      </c>
      <c r="H28" s="95" t="s">
        <v>72</v>
      </c>
      <c r="I28" s="95"/>
      <c r="J28" s="95"/>
      <c r="K28" s="95" t="s">
        <v>237</v>
      </c>
      <c r="L28" s="27" t="s">
        <v>236</v>
      </c>
    </row>
    <row r="29" spans="1:12">
      <c r="A29" s="4"/>
      <c r="B29" s="245"/>
      <c r="C29" s="28"/>
      <c r="D29" s="28"/>
      <c r="E29" s="95"/>
      <c r="F29" s="95"/>
      <c r="G29" s="95" t="s">
        <v>357</v>
      </c>
      <c r="H29" s="95" t="s">
        <v>91</v>
      </c>
      <c r="I29" s="95"/>
      <c r="J29" s="95"/>
      <c r="K29" s="95" t="s">
        <v>358</v>
      </c>
      <c r="L29" s="27" t="s">
        <v>359</v>
      </c>
    </row>
    <row r="30" spans="1:12">
      <c r="A30" s="4"/>
      <c r="B30" s="245"/>
      <c r="C30" s="28"/>
      <c r="D30" s="28"/>
      <c r="E30" s="28"/>
      <c r="F30" s="28"/>
      <c r="G30" s="28" t="s">
        <v>121</v>
      </c>
      <c r="H30" s="28" t="s">
        <v>72</v>
      </c>
      <c r="I30" s="28"/>
      <c r="J30" s="28"/>
      <c r="K30" s="28" t="s">
        <v>87</v>
      </c>
      <c r="L30" s="27" t="s">
        <v>34</v>
      </c>
    </row>
    <row r="31" spans="1:12">
      <c r="A31" s="4"/>
      <c r="B31" s="245"/>
      <c r="C31" s="28"/>
      <c r="D31" s="28"/>
      <c r="E31" s="28"/>
      <c r="F31" s="28"/>
      <c r="G31" s="28" t="s">
        <v>235</v>
      </c>
      <c r="H31" s="28" t="s">
        <v>72</v>
      </c>
      <c r="I31" s="28"/>
      <c r="J31" s="28"/>
      <c r="K31" s="28" t="s">
        <v>221</v>
      </c>
      <c r="L31" s="27" t="s">
        <v>222</v>
      </c>
    </row>
    <row r="32" spans="1:12">
      <c r="A32" s="4"/>
      <c r="B32" s="245"/>
      <c r="C32" s="28"/>
      <c r="D32" s="28"/>
      <c r="E32" s="28"/>
      <c r="F32" s="28"/>
      <c r="G32" s="28" t="s">
        <v>225</v>
      </c>
      <c r="H32" s="28" t="s">
        <v>72</v>
      </c>
      <c r="I32" s="28"/>
      <c r="J32" s="28"/>
      <c r="K32" s="28" t="s">
        <v>226</v>
      </c>
      <c r="L32" s="27" t="s">
        <v>227</v>
      </c>
    </row>
    <row r="33" spans="1:12">
      <c r="A33" s="4"/>
      <c r="B33" s="245"/>
      <c r="C33" s="28"/>
      <c r="D33" s="28"/>
      <c r="E33" s="28"/>
      <c r="F33" s="28"/>
      <c r="G33" s="28" t="s">
        <v>224</v>
      </c>
      <c r="H33" s="28" t="s">
        <v>72</v>
      </c>
      <c r="I33" s="28"/>
      <c r="J33" s="28"/>
      <c r="K33" s="28" t="s">
        <v>101</v>
      </c>
      <c r="L33" s="27" t="s">
        <v>362</v>
      </c>
    </row>
    <row r="34" spans="1:12" ht="124.8">
      <c r="A34" s="4"/>
      <c r="B34" s="245"/>
      <c r="C34" s="28"/>
      <c r="D34" s="28"/>
      <c r="E34" s="95"/>
      <c r="F34" s="95"/>
      <c r="G34" s="95" t="s">
        <v>128</v>
      </c>
      <c r="H34" s="95" t="s">
        <v>137</v>
      </c>
      <c r="I34" s="95"/>
      <c r="J34" s="95"/>
      <c r="K34" s="134" t="s">
        <v>45</v>
      </c>
      <c r="L34" s="135" t="s">
        <v>355</v>
      </c>
    </row>
    <row r="35" spans="1:12" ht="46.8">
      <c r="A35" s="4"/>
      <c r="B35" s="245"/>
      <c r="C35" s="98"/>
      <c r="D35" s="98"/>
      <c r="E35" s="100"/>
      <c r="F35" s="95"/>
      <c r="G35" s="100" t="s">
        <v>360</v>
      </c>
      <c r="H35" s="95" t="s">
        <v>72</v>
      </c>
      <c r="I35" s="100"/>
      <c r="J35" s="95"/>
      <c r="K35" s="116" t="s">
        <v>229</v>
      </c>
      <c r="L35" s="35" t="s">
        <v>361</v>
      </c>
    </row>
    <row r="36" spans="1:12">
      <c r="A36" s="4"/>
      <c r="B36" s="245"/>
      <c r="C36" s="28"/>
      <c r="D36" s="28"/>
      <c r="E36" s="102"/>
      <c r="F36" s="98"/>
      <c r="G36" s="102" t="s">
        <v>134</v>
      </c>
      <c r="H36" s="98" t="s">
        <v>72</v>
      </c>
      <c r="I36" s="95"/>
      <c r="J36" s="95"/>
      <c r="K36" s="28" t="s">
        <v>161</v>
      </c>
      <c r="L36" s="97" t="s">
        <v>356</v>
      </c>
    </row>
    <row r="37" spans="1:12">
      <c r="A37" s="4"/>
      <c r="B37" s="245"/>
      <c r="C37" s="28"/>
      <c r="D37" s="28"/>
      <c r="E37" s="28"/>
      <c r="F37" s="28"/>
      <c r="G37" s="28" t="s">
        <v>234</v>
      </c>
      <c r="H37" s="28" t="s">
        <v>72</v>
      </c>
      <c r="I37" s="28"/>
      <c r="J37" s="28"/>
      <c r="K37" s="28" t="s">
        <v>76</v>
      </c>
      <c r="L37" s="27" t="s">
        <v>228</v>
      </c>
    </row>
    <row r="38" spans="1:12" ht="31.2">
      <c r="A38" s="4"/>
      <c r="B38" s="245"/>
      <c r="C38" s="98"/>
      <c r="D38" s="98"/>
      <c r="E38" s="100"/>
      <c r="F38" s="100"/>
      <c r="G38" s="100" t="s">
        <v>139</v>
      </c>
      <c r="H38" s="100" t="s">
        <v>72</v>
      </c>
      <c r="I38" s="98"/>
      <c r="J38" s="98"/>
      <c r="K38" s="100" t="s">
        <v>370</v>
      </c>
      <c r="L38" s="136" t="s">
        <v>369</v>
      </c>
    </row>
    <row r="39" spans="1:12">
      <c r="A39" s="4"/>
      <c r="B39" s="245"/>
      <c r="C39" s="98"/>
      <c r="D39" s="98"/>
      <c r="E39" s="98"/>
      <c r="F39" s="28"/>
      <c r="G39" s="98" t="s">
        <v>230</v>
      </c>
      <c r="H39" s="28" t="s">
        <v>72</v>
      </c>
      <c r="I39" s="100"/>
      <c r="J39" s="95"/>
      <c r="K39" s="34" t="s">
        <v>231</v>
      </c>
      <c r="L39" s="35" t="s">
        <v>354</v>
      </c>
    </row>
    <row r="40" spans="1:12">
      <c r="A40" s="4"/>
      <c r="B40" s="245"/>
      <c r="C40" s="98"/>
      <c r="D40" s="98"/>
      <c r="E40" s="98"/>
      <c r="F40" s="28"/>
      <c r="G40" s="98" t="s">
        <v>351</v>
      </c>
      <c r="H40" s="28" t="s">
        <v>72</v>
      </c>
      <c r="I40" s="100"/>
      <c r="J40" s="95"/>
      <c r="K40" s="34" t="s">
        <v>350</v>
      </c>
      <c r="L40" s="35" t="s">
        <v>348</v>
      </c>
    </row>
    <row r="41" spans="1:12">
      <c r="A41" s="4"/>
      <c r="B41" s="245"/>
      <c r="C41" s="98"/>
      <c r="D41" s="98"/>
      <c r="E41" s="98"/>
      <c r="F41" s="28"/>
      <c r="G41" s="98" t="s">
        <v>353</v>
      </c>
      <c r="H41" s="28" t="s">
        <v>72</v>
      </c>
      <c r="I41" s="100"/>
      <c r="J41" s="95"/>
      <c r="K41" s="34" t="s">
        <v>350</v>
      </c>
      <c r="L41" s="34" t="s">
        <v>349</v>
      </c>
    </row>
    <row r="42" spans="1:12">
      <c r="A42" s="4"/>
      <c r="B42" s="245"/>
      <c r="C42" s="98"/>
      <c r="D42" s="98"/>
      <c r="E42" s="98"/>
      <c r="F42" s="28"/>
      <c r="G42" s="98" t="s">
        <v>352</v>
      </c>
      <c r="H42" s="28" t="s">
        <v>72</v>
      </c>
      <c r="I42" s="100"/>
      <c r="J42" s="95"/>
      <c r="K42" s="34" t="s">
        <v>350</v>
      </c>
      <c r="L42" s="34" t="s">
        <v>349</v>
      </c>
    </row>
    <row r="43" spans="1:12">
      <c r="A43" s="4"/>
      <c r="B43" s="245"/>
      <c r="C43" s="98"/>
      <c r="D43" s="98"/>
      <c r="E43" s="98"/>
      <c r="F43" s="28"/>
      <c r="G43" s="98" t="s">
        <v>363</v>
      </c>
      <c r="H43" s="28" t="s">
        <v>72</v>
      </c>
      <c r="I43" s="100"/>
      <c r="J43" s="95"/>
      <c r="K43" s="34" t="s">
        <v>350</v>
      </c>
      <c r="L43" s="34" t="s">
        <v>364</v>
      </c>
    </row>
    <row r="44" spans="1:12">
      <c r="B44" s="245"/>
      <c r="C44" s="28"/>
      <c r="D44" s="28"/>
      <c r="E44" s="28"/>
      <c r="F44" s="28"/>
      <c r="G44" s="28"/>
      <c r="H44" s="28"/>
      <c r="I44" s="28"/>
      <c r="J44" s="28"/>
      <c r="K44" s="28"/>
      <c r="L44" s="27"/>
    </row>
    <row r="45" spans="1:12" ht="16.8" thickBot="1">
      <c r="B45" s="246"/>
      <c r="C45" s="30"/>
      <c r="D45" s="30"/>
      <c r="E45" s="30"/>
      <c r="F45" s="30"/>
      <c r="G45" s="30"/>
      <c r="H45" s="30"/>
      <c r="I45" s="30"/>
      <c r="J45" s="30"/>
      <c r="K45" s="30"/>
      <c r="L45" s="29"/>
    </row>
    <row r="46" spans="1:12">
      <c r="B46" s="85"/>
      <c r="C46" s="83"/>
      <c r="D46" s="83"/>
      <c r="E46" s="83"/>
      <c r="F46" s="83"/>
      <c r="G46" s="83"/>
      <c r="H46" s="83"/>
      <c r="I46" s="83"/>
      <c r="J46" s="83"/>
      <c r="K46" s="83"/>
      <c r="L46" s="83"/>
    </row>
    <row r="47" spans="1:12" ht="60.6" customHeight="1">
      <c r="B47" s="89" t="s">
        <v>74</v>
      </c>
      <c r="C47" s="247"/>
      <c r="D47" s="248"/>
      <c r="E47" s="248"/>
      <c r="F47" s="248"/>
      <c r="G47" s="248"/>
      <c r="H47" s="248"/>
      <c r="I47" s="248"/>
      <c r="J47" s="248"/>
      <c r="K47" s="248"/>
      <c r="L47" s="249"/>
    </row>
  </sheetData>
  <mergeCells count="10">
    <mergeCell ref="C18:L18"/>
    <mergeCell ref="C19:L19"/>
    <mergeCell ref="B21:B45"/>
    <mergeCell ref="C47:L47"/>
    <mergeCell ref="A1:C3"/>
    <mergeCell ref="C4:L4"/>
    <mergeCell ref="C5:L5"/>
    <mergeCell ref="C6:L6"/>
    <mergeCell ref="B8:B14"/>
    <mergeCell ref="C17:L17"/>
  </mergeCells>
  <phoneticPr fontId="1" type="noConversion"/>
  <conditionalFormatting sqref="C8:H8">
    <cfRule type="duplicateValues" dxfId="38" priority="25"/>
  </conditionalFormatting>
  <conditionalFormatting sqref="C21:J21">
    <cfRule type="duplicateValues" dxfId="37" priority="26"/>
  </conditionalFormatting>
  <conditionalFormatting sqref="I8:J8">
    <cfRule type="duplicateValues" dxfId="36" priority="1"/>
  </conditionalFormatting>
  <hyperlinks>
    <hyperlink ref="A4" location="List!A1" display="LIST" xr:uid="{00000000-0004-0000-0A00-000000000000}"/>
  </hyperlink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封裝程式殼層物件" shapeId="55304" r:id="rId4">
          <objectPr defaultSize="0" r:id="rId5">
            <anchor moveWithCells="1">
              <from>
                <xdr:col>2</xdr:col>
                <xdr:colOff>403860</xdr:colOff>
                <xdr:row>46</xdr:row>
                <xdr:rowOff>114300</xdr:rowOff>
              </from>
              <to>
                <xdr:col>3</xdr:col>
                <xdr:colOff>815340</xdr:colOff>
                <xdr:row>46</xdr:row>
                <xdr:rowOff>632460</xdr:rowOff>
              </to>
            </anchor>
          </objectPr>
        </oleObject>
      </mc:Choice>
      <mc:Fallback>
        <oleObject progId="封裝程式殼層物件" shapeId="55304" r:id="rId4"/>
      </mc:Fallback>
    </mc:AlternateContent>
    <mc:AlternateContent xmlns:mc="http://schemas.openxmlformats.org/markup-compatibility/2006">
      <mc:Choice Requires="x14">
        <oleObject progId="封裝程式殼層物件" shapeId="55305" r:id="rId6">
          <objectPr defaultSize="0" r:id="rId7">
            <anchor moveWithCells="1">
              <from>
                <xdr:col>4</xdr:col>
                <xdr:colOff>7620</xdr:colOff>
                <xdr:row>46</xdr:row>
                <xdr:rowOff>106680</xdr:rowOff>
              </from>
              <to>
                <xdr:col>6</xdr:col>
                <xdr:colOff>304800</xdr:colOff>
                <xdr:row>46</xdr:row>
                <xdr:rowOff>617220</xdr:rowOff>
              </to>
            </anchor>
          </objectPr>
        </oleObject>
      </mc:Choice>
      <mc:Fallback>
        <oleObject progId="封裝程式殼層物件" shapeId="55305" r:id="rId6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0"/>
  <sheetViews>
    <sheetView showGridLines="0" zoomScale="90" zoomScaleNormal="90" workbookViewId="0">
      <selection activeCell="G31" sqref="G31"/>
    </sheetView>
  </sheetViews>
  <sheetFormatPr defaultColWidth="9" defaultRowHeight="16.2"/>
  <cols>
    <col min="1" max="1" width="9" style="3"/>
    <col min="2" max="3" width="18.77734375" style="3" customWidth="1"/>
    <col min="4" max="4" width="14.21875" style="3" bestFit="1" customWidth="1"/>
    <col min="5" max="5" width="10.44140625" style="3" bestFit="1" customWidth="1"/>
    <col min="6" max="6" width="9.33203125" style="3" bestFit="1" customWidth="1"/>
    <col min="7" max="7" width="25" style="3" customWidth="1"/>
    <col min="8" max="8" width="14.21875" style="3" bestFit="1" customWidth="1"/>
    <col min="9" max="9" width="50.5546875" style="3" customWidth="1"/>
    <col min="10" max="10" width="60.21875" style="3" customWidth="1"/>
    <col min="11" max="16384" width="9" style="3"/>
  </cols>
  <sheetData>
    <row r="1" spans="1:10">
      <c r="A1" s="250"/>
      <c r="B1" s="250"/>
      <c r="C1" s="250"/>
    </row>
    <row r="2" spans="1:10">
      <c r="A2" s="250"/>
      <c r="B2" s="250"/>
      <c r="C2" s="250"/>
    </row>
    <row r="3" spans="1:10" ht="16.8" thickBot="1">
      <c r="A3" s="250"/>
      <c r="B3" s="250"/>
      <c r="C3" s="250"/>
    </row>
    <row r="4" spans="1:10">
      <c r="A4" s="90" t="s">
        <v>0</v>
      </c>
      <c r="B4" s="86" t="s">
        <v>42</v>
      </c>
      <c r="C4" s="251" t="s">
        <v>366</v>
      </c>
      <c r="D4" s="251"/>
      <c r="E4" s="251"/>
      <c r="F4" s="251"/>
      <c r="G4" s="251"/>
      <c r="H4" s="251"/>
      <c r="I4" s="251"/>
      <c r="J4" s="252"/>
    </row>
    <row r="5" spans="1:10">
      <c r="B5" s="87" t="s">
        <v>83</v>
      </c>
      <c r="C5" s="240" t="s">
        <v>263</v>
      </c>
      <c r="D5" s="240"/>
      <c r="E5" s="240"/>
      <c r="F5" s="240"/>
      <c r="G5" s="240"/>
      <c r="H5" s="240"/>
      <c r="I5" s="240"/>
      <c r="J5" s="241"/>
    </row>
    <row r="6" spans="1:10" ht="16.5" customHeight="1" thickBot="1">
      <c r="A6" s="4"/>
      <c r="B6" s="88" t="s">
        <v>5</v>
      </c>
      <c r="C6" s="242" t="s">
        <v>338</v>
      </c>
      <c r="D6" s="242"/>
      <c r="E6" s="242"/>
      <c r="F6" s="242"/>
      <c r="G6" s="242"/>
      <c r="H6" s="242"/>
      <c r="I6" s="242"/>
      <c r="J6" s="243"/>
    </row>
    <row r="7" spans="1:10" ht="6.6" customHeight="1" thickBot="1">
      <c r="A7" s="4"/>
      <c r="C7" s="84"/>
      <c r="D7" s="84"/>
      <c r="E7" s="84"/>
      <c r="F7" s="84"/>
      <c r="G7" s="84"/>
      <c r="H7" s="84"/>
      <c r="I7" s="84"/>
      <c r="J7" s="84"/>
    </row>
    <row r="8" spans="1:10" ht="16.5" customHeight="1">
      <c r="A8" s="4"/>
      <c r="B8" s="244" t="s">
        <v>102</v>
      </c>
      <c r="C8" s="91" t="s">
        <v>106</v>
      </c>
      <c r="D8" s="91" t="s">
        <v>103</v>
      </c>
      <c r="E8" s="91" t="s">
        <v>107</v>
      </c>
      <c r="F8" s="91" t="s">
        <v>104</v>
      </c>
      <c r="G8" s="91" t="s">
        <v>108</v>
      </c>
      <c r="H8" s="91" t="s">
        <v>105</v>
      </c>
      <c r="I8" s="91" t="s">
        <v>24</v>
      </c>
      <c r="J8" s="96" t="s">
        <v>2</v>
      </c>
    </row>
    <row r="9" spans="1:10">
      <c r="A9" s="4"/>
      <c r="B9" s="245"/>
      <c r="C9" s="28" t="s">
        <v>41</v>
      </c>
      <c r="D9" s="28" t="s">
        <v>72</v>
      </c>
      <c r="E9" s="28"/>
      <c r="F9" s="28"/>
      <c r="G9" s="28"/>
      <c r="H9" s="28"/>
      <c r="I9" s="28" t="s">
        <v>75</v>
      </c>
      <c r="J9" s="27" t="s">
        <v>27</v>
      </c>
    </row>
    <row r="10" spans="1:10">
      <c r="A10" s="4"/>
      <c r="B10" s="245"/>
      <c r="C10" s="28" t="s">
        <v>114</v>
      </c>
      <c r="D10" s="28" t="s">
        <v>72</v>
      </c>
      <c r="E10" s="28"/>
      <c r="F10" s="28"/>
      <c r="G10" s="28"/>
      <c r="H10" s="28"/>
      <c r="I10" s="28" t="s">
        <v>76</v>
      </c>
      <c r="J10" s="27" t="s">
        <v>28</v>
      </c>
    </row>
    <row r="11" spans="1:10">
      <c r="A11" s="4"/>
      <c r="B11" s="245"/>
      <c r="C11" s="31" t="s">
        <v>116</v>
      </c>
      <c r="D11" s="28" t="s">
        <v>72</v>
      </c>
      <c r="E11" s="28"/>
      <c r="F11" s="28"/>
      <c r="G11" s="28"/>
      <c r="H11" s="28"/>
      <c r="I11" s="28" t="s">
        <v>281</v>
      </c>
      <c r="J11" s="27" t="s">
        <v>260</v>
      </c>
    </row>
    <row r="12" spans="1:10">
      <c r="A12" s="4"/>
      <c r="B12" s="245"/>
      <c r="C12" s="99" t="s">
        <v>127</v>
      </c>
      <c r="D12" s="28" t="s">
        <v>72</v>
      </c>
      <c r="E12" s="28"/>
      <c r="F12" s="28"/>
      <c r="G12" s="28"/>
      <c r="H12" s="28"/>
      <c r="I12" s="28" t="s">
        <v>232</v>
      </c>
      <c r="J12" s="27" t="s">
        <v>223</v>
      </c>
    </row>
    <row r="13" spans="1:10" ht="31.2">
      <c r="A13" s="4"/>
      <c r="B13" s="245"/>
      <c r="C13" s="100" t="s">
        <v>365</v>
      </c>
      <c r="D13" s="100" t="s">
        <v>72</v>
      </c>
      <c r="E13" s="28"/>
      <c r="F13" s="28"/>
      <c r="G13" s="28"/>
      <c r="H13" s="28"/>
      <c r="I13" s="100" t="s">
        <v>370</v>
      </c>
      <c r="J13" s="136" t="s">
        <v>369</v>
      </c>
    </row>
    <row r="14" spans="1:10" ht="16.8" thickBot="1">
      <c r="A14" s="4"/>
      <c r="B14" s="246"/>
      <c r="C14" s="30"/>
      <c r="D14" s="30"/>
      <c r="E14" s="30"/>
      <c r="F14" s="30"/>
      <c r="G14" s="30"/>
      <c r="H14" s="30"/>
      <c r="I14" s="30"/>
      <c r="J14" s="29"/>
    </row>
    <row r="15" spans="1:10">
      <c r="A15" s="84"/>
      <c r="B15" s="85"/>
      <c r="C15" s="83"/>
      <c r="D15" s="83"/>
      <c r="E15" s="83"/>
      <c r="F15" s="83"/>
      <c r="G15" s="83"/>
      <c r="H15" s="83"/>
      <c r="I15" s="83"/>
      <c r="J15" s="83"/>
    </row>
    <row r="16" spans="1:10" ht="16.8" thickBot="1">
      <c r="A16" s="84"/>
      <c r="B16" s="85"/>
      <c r="C16" s="83"/>
      <c r="D16" s="83"/>
      <c r="E16" s="83"/>
      <c r="F16" s="83"/>
      <c r="G16" s="83"/>
      <c r="H16" s="83"/>
      <c r="I16" s="83"/>
      <c r="J16" s="83"/>
    </row>
    <row r="17" spans="1:10" ht="16.2" customHeight="1">
      <c r="A17" s="84"/>
      <c r="B17" s="86" t="s">
        <v>42</v>
      </c>
      <c r="C17" s="251" t="s">
        <v>367</v>
      </c>
      <c r="D17" s="251"/>
      <c r="E17" s="251"/>
      <c r="F17" s="251"/>
      <c r="G17" s="251"/>
      <c r="H17" s="251"/>
      <c r="I17" s="251"/>
      <c r="J17" s="252"/>
    </row>
    <row r="18" spans="1:10">
      <c r="A18" s="84"/>
      <c r="B18" s="87" t="s">
        <v>83</v>
      </c>
      <c r="C18" s="240" t="s">
        <v>264</v>
      </c>
      <c r="D18" s="240"/>
      <c r="E18" s="240"/>
      <c r="F18" s="240"/>
      <c r="G18" s="240"/>
      <c r="H18" s="240"/>
      <c r="I18" s="240"/>
      <c r="J18" s="241"/>
    </row>
    <row r="19" spans="1:10" ht="16.8" thickBot="1">
      <c r="A19" s="4"/>
      <c r="B19" s="88" t="s">
        <v>5</v>
      </c>
      <c r="C19" s="242" t="s">
        <v>371</v>
      </c>
      <c r="D19" s="242"/>
      <c r="E19" s="242"/>
      <c r="F19" s="242"/>
      <c r="G19" s="242"/>
      <c r="H19" s="242"/>
      <c r="I19" s="242"/>
      <c r="J19" s="243"/>
    </row>
    <row r="20" spans="1:10" ht="10.199999999999999" customHeight="1" thickBot="1">
      <c r="A20" s="4"/>
      <c r="C20" s="84"/>
      <c r="D20" s="84"/>
      <c r="E20" s="84"/>
      <c r="F20" s="84"/>
      <c r="G20" s="84"/>
      <c r="H20" s="84"/>
      <c r="I20" s="84"/>
      <c r="J20" s="84"/>
    </row>
    <row r="21" spans="1:10">
      <c r="B21" s="244" t="s">
        <v>102</v>
      </c>
      <c r="C21" s="91" t="s">
        <v>106</v>
      </c>
      <c r="D21" s="91" t="s">
        <v>103</v>
      </c>
      <c r="E21" s="91" t="s">
        <v>107</v>
      </c>
      <c r="F21" s="91" t="s">
        <v>104</v>
      </c>
      <c r="G21" s="91" t="s">
        <v>108</v>
      </c>
      <c r="H21" s="91" t="s">
        <v>105</v>
      </c>
      <c r="I21" s="91" t="s">
        <v>24</v>
      </c>
      <c r="J21" s="96" t="s">
        <v>2</v>
      </c>
    </row>
    <row r="22" spans="1:10">
      <c r="B22" s="245"/>
      <c r="C22" s="28" t="s">
        <v>41</v>
      </c>
      <c r="D22" s="28" t="s">
        <v>72</v>
      </c>
      <c r="E22" s="28"/>
      <c r="F22" s="28"/>
      <c r="G22" s="28"/>
      <c r="H22" s="28"/>
      <c r="I22" s="28" t="s">
        <v>75</v>
      </c>
      <c r="J22" s="27" t="s">
        <v>27</v>
      </c>
    </row>
    <row r="23" spans="1:10">
      <c r="B23" s="245"/>
      <c r="C23" s="28" t="s">
        <v>114</v>
      </c>
      <c r="D23" s="28" t="s">
        <v>72</v>
      </c>
      <c r="E23" s="28"/>
      <c r="F23" s="28"/>
      <c r="G23" s="28"/>
      <c r="H23" s="28"/>
      <c r="I23" s="28" t="s">
        <v>76</v>
      </c>
      <c r="J23" s="27" t="s">
        <v>28</v>
      </c>
    </row>
    <row r="24" spans="1:10">
      <c r="B24" s="245"/>
      <c r="C24" s="28" t="s">
        <v>116</v>
      </c>
      <c r="D24" s="28" t="s">
        <v>72</v>
      </c>
      <c r="E24" s="28"/>
      <c r="F24" s="28"/>
      <c r="G24" s="28"/>
      <c r="H24" s="28"/>
      <c r="I24" s="28" t="s">
        <v>281</v>
      </c>
      <c r="J24" s="27" t="s">
        <v>260</v>
      </c>
    </row>
    <row r="25" spans="1:10">
      <c r="B25" s="245"/>
      <c r="C25" s="99" t="s">
        <v>127</v>
      </c>
      <c r="D25" s="28" t="s">
        <v>72</v>
      </c>
      <c r="E25" s="28"/>
      <c r="F25" s="28"/>
      <c r="G25" s="28"/>
      <c r="H25" s="28"/>
      <c r="I25" s="28" t="s">
        <v>232</v>
      </c>
      <c r="J25" s="27" t="s">
        <v>223</v>
      </c>
    </row>
    <row r="26" spans="1:10" ht="31.2">
      <c r="B26" s="245"/>
      <c r="C26" s="100" t="s">
        <v>365</v>
      </c>
      <c r="D26" s="100" t="s">
        <v>72</v>
      </c>
      <c r="E26" s="28"/>
      <c r="F26" s="28"/>
      <c r="G26" s="28"/>
      <c r="H26" s="28"/>
      <c r="I26" s="100" t="s">
        <v>370</v>
      </c>
      <c r="J26" s="136" t="s">
        <v>369</v>
      </c>
    </row>
    <row r="27" spans="1:10">
      <c r="B27" s="245"/>
      <c r="C27" s="28"/>
      <c r="D27" s="28"/>
      <c r="E27" s="98"/>
      <c r="F27" s="98"/>
      <c r="G27" s="98"/>
      <c r="H27" s="98"/>
      <c r="I27" s="28"/>
      <c r="J27" s="27"/>
    </row>
    <row r="28" spans="1:10" ht="16.8" thickBot="1">
      <c r="B28" s="246"/>
      <c r="C28" s="30"/>
      <c r="D28" s="30"/>
      <c r="E28" s="30"/>
      <c r="F28" s="30"/>
      <c r="G28" s="30"/>
      <c r="H28" s="30"/>
      <c r="I28" s="30"/>
      <c r="J28" s="29"/>
    </row>
    <row r="29" spans="1:10">
      <c r="B29" s="85"/>
      <c r="C29" s="83"/>
      <c r="D29" s="83"/>
      <c r="E29" s="83"/>
      <c r="F29" s="83"/>
      <c r="G29" s="83"/>
      <c r="H29" s="83"/>
      <c r="I29" s="83"/>
      <c r="J29" s="83"/>
    </row>
    <row r="30" spans="1:10" ht="65.400000000000006" customHeight="1">
      <c r="B30" s="89" t="s">
        <v>74</v>
      </c>
      <c r="C30" s="247"/>
      <c r="D30" s="248"/>
      <c r="E30" s="248"/>
      <c r="F30" s="248"/>
      <c r="G30" s="248"/>
      <c r="H30" s="248"/>
      <c r="I30" s="248"/>
      <c r="J30" s="249"/>
    </row>
  </sheetData>
  <mergeCells count="10">
    <mergeCell ref="C18:J18"/>
    <mergeCell ref="C19:J19"/>
    <mergeCell ref="B21:B28"/>
    <mergeCell ref="C30:J30"/>
    <mergeCell ref="A1:C3"/>
    <mergeCell ref="C4:J4"/>
    <mergeCell ref="C5:J5"/>
    <mergeCell ref="C6:J6"/>
    <mergeCell ref="B8:B14"/>
    <mergeCell ref="C17:J17"/>
  </mergeCells>
  <phoneticPr fontId="1" type="noConversion"/>
  <conditionalFormatting sqref="C8:H8">
    <cfRule type="duplicateValues" dxfId="35" priority="20"/>
  </conditionalFormatting>
  <conditionalFormatting sqref="C21:H21">
    <cfRule type="duplicateValues" dxfId="34" priority="21"/>
  </conditionalFormatting>
  <hyperlinks>
    <hyperlink ref="A4" location="List!A1" display="LIST" xr:uid="{00000000-0004-0000-0B00-000000000000}"/>
  </hyperlink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封裝程式殼層物件" shapeId="56325" r:id="rId4">
          <objectPr defaultSize="0" r:id="rId5">
            <anchor moveWithCells="1">
              <from>
                <xdr:col>2</xdr:col>
                <xdr:colOff>411480</xdr:colOff>
                <xdr:row>29</xdr:row>
                <xdr:rowOff>190500</xdr:rowOff>
              </from>
              <to>
                <xdr:col>4</xdr:col>
                <xdr:colOff>381000</xdr:colOff>
                <xdr:row>29</xdr:row>
                <xdr:rowOff>708660</xdr:rowOff>
              </to>
            </anchor>
          </objectPr>
        </oleObject>
      </mc:Choice>
      <mc:Fallback>
        <oleObject progId="封裝程式殼層物件" shapeId="56325" r:id="rId4"/>
      </mc:Fallback>
    </mc:AlternateContent>
    <mc:AlternateContent xmlns:mc="http://schemas.openxmlformats.org/markup-compatibility/2006">
      <mc:Choice Requires="x14">
        <oleObject progId="封裝程式殼層物件" shapeId="56326" r:id="rId6">
          <objectPr defaultSize="0" r:id="rId7">
            <anchor moveWithCells="1">
              <from>
                <xdr:col>4</xdr:col>
                <xdr:colOff>525780</xdr:colOff>
                <xdr:row>29</xdr:row>
                <xdr:rowOff>190500</xdr:rowOff>
              </from>
              <to>
                <xdr:col>7</xdr:col>
                <xdr:colOff>68580</xdr:colOff>
                <xdr:row>29</xdr:row>
                <xdr:rowOff>708660</xdr:rowOff>
              </to>
            </anchor>
          </objectPr>
        </oleObject>
      </mc:Choice>
      <mc:Fallback>
        <oleObject progId="封裝程式殼層物件" shapeId="56326" r:id="rId6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1"/>
  <sheetViews>
    <sheetView showGridLines="0" zoomScale="90" zoomScaleNormal="90" workbookViewId="0">
      <selection activeCell="G34" sqref="G34"/>
    </sheetView>
  </sheetViews>
  <sheetFormatPr defaultColWidth="9" defaultRowHeight="16.2"/>
  <cols>
    <col min="1" max="1" width="9" style="3"/>
    <col min="2" max="2" width="18.77734375" style="3" customWidth="1"/>
    <col min="3" max="3" width="24" style="3" customWidth="1"/>
    <col min="4" max="4" width="14.21875" style="3" bestFit="1" customWidth="1"/>
    <col min="5" max="5" width="10.44140625" style="3" bestFit="1" customWidth="1"/>
    <col min="6" max="6" width="14.77734375" style="3" customWidth="1"/>
    <col min="7" max="7" width="12.88671875" style="3" customWidth="1"/>
    <col min="8" max="8" width="14.21875" style="3" bestFit="1" customWidth="1"/>
    <col min="9" max="9" width="50.5546875" style="3" customWidth="1"/>
    <col min="10" max="10" width="60.21875" style="3" customWidth="1"/>
    <col min="11" max="16384" width="9" style="3"/>
  </cols>
  <sheetData>
    <row r="1" spans="1:10">
      <c r="A1" s="250"/>
      <c r="B1" s="250"/>
      <c r="C1" s="250"/>
    </row>
    <row r="2" spans="1:10">
      <c r="A2" s="250"/>
      <c r="B2" s="250"/>
      <c r="C2" s="250"/>
    </row>
    <row r="3" spans="1:10" ht="16.8" thickBot="1">
      <c r="A3" s="250"/>
      <c r="B3" s="250"/>
      <c r="C3" s="250"/>
    </row>
    <row r="4" spans="1:10">
      <c r="A4" s="90" t="s">
        <v>0</v>
      </c>
      <c r="B4" s="86" t="s">
        <v>42</v>
      </c>
      <c r="C4" s="251" t="s">
        <v>373</v>
      </c>
      <c r="D4" s="251"/>
      <c r="E4" s="251"/>
      <c r="F4" s="251"/>
      <c r="G4" s="251"/>
      <c r="H4" s="251"/>
      <c r="I4" s="251"/>
      <c r="J4" s="252"/>
    </row>
    <row r="5" spans="1:10">
      <c r="B5" s="87" t="s">
        <v>83</v>
      </c>
      <c r="C5" s="240" t="s">
        <v>264</v>
      </c>
      <c r="D5" s="240"/>
      <c r="E5" s="240"/>
      <c r="F5" s="240"/>
      <c r="G5" s="240"/>
      <c r="H5" s="240"/>
      <c r="I5" s="240"/>
      <c r="J5" s="241"/>
    </row>
    <row r="6" spans="1:10" ht="16.5" customHeight="1" thickBot="1">
      <c r="A6" s="4"/>
      <c r="B6" s="88" t="s">
        <v>5</v>
      </c>
      <c r="C6" s="242" t="s">
        <v>372</v>
      </c>
      <c r="D6" s="242"/>
      <c r="E6" s="242"/>
      <c r="F6" s="242"/>
      <c r="G6" s="242"/>
      <c r="H6" s="242"/>
      <c r="I6" s="242"/>
      <c r="J6" s="243"/>
    </row>
    <row r="7" spans="1:10" ht="6.6" customHeight="1" thickBot="1">
      <c r="A7" s="4"/>
      <c r="C7" s="84"/>
      <c r="D7" s="84"/>
      <c r="E7" s="84"/>
      <c r="F7" s="84"/>
      <c r="G7" s="84"/>
      <c r="H7" s="84"/>
      <c r="I7" s="84"/>
      <c r="J7" s="84"/>
    </row>
    <row r="8" spans="1:10" ht="16.5" customHeight="1">
      <c r="A8" s="4"/>
      <c r="B8" s="244" t="s">
        <v>102</v>
      </c>
      <c r="C8" s="91" t="s">
        <v>106</v>
      </c>
      <c r="D8" s="91" t="s">
        <v>103</v>
      </c>
      <c r="E8" s="91" t="s">
        <v>107</v>
      </c>
      <c r="F8" s="91" t="s">
        <v>104</v>
      </c>
      <c r="G8" s="91" t="s">
        <v>108</v>
      </c>
      <c r="H8" s="91" t="s">
        <v>105</v>
      </c>
      <c r="I8" s="91" t="s">
        <v>24</v>
      </c>
      <c r="J8" s="96" t="s">
        <v>2</v>
      </c>
    </row>
    <row r="9" spans="1:10">
      <c r="A9" s="4"/>
      <c r="B9" s="245"/>
      <c r="C9" s="28" t="s">
        <v>41</v>
      </c>
      <c r="D9" s="28" t="s">
        <v>72</v>
      </c>
      <c r="E9" s="28"/>
      <c r="F9" s="28"/>
      <c r="G9" s="28"/>
      <c r="H9" s="28"/>
      <c r="I9" s="28" t="s">
        <v>75</v>
      </c>
      <c r="J9" s="27" t="s">
        <v>27</v>
      </c>
    </row>
    <row r="10" spans="1:10">
      <c r="A10" s="4"/>
      <c r="B10" s="245"/>
      <c r="C10" s="28" t="s">
        <v>114</v>
      </c>
      <c r="D10" s="28" t="s">
        <v>72</v>
      </c>
      <c r="E10" s="28"/>
      <c r="F10" s="28"/>
      <c r="G10" s="28"/>
      <c r="H10" s="28"/>
      <c r="I10" s="28" t="s">
        <v>76</v>
      </c>
      <c r="J10" s="27" t="s">
        <v>28</v>
      </c>
    </row>
    <row r="11" spans="1:10">
      <c r="A11" s="4"/>
      <c r="B11" s="245"/>
      <c r="C11" s="28" t="s">
        <v>116</v>
      </c>
      <c r="D11" s="28" t="s">
        <v>72</v>
      </c>
      <c r="E11" s="28"/>
      <c r="F11" s="28"/>
      <c r="G11" s="28"/>
      <c r="H11" s="28"/>
      <c r="I11" s="28" t="s">
        <v>281</v>
      </c>
      <c r="J11" s="27" t="s">
        <v>260</v>
      </c>
    </row>
    <row r="12" spans="1:10">
      <c r="A12" s="84"/>
      <c r="B12" s="245"/>
      <c r="C12" s="99" t="s">
        <v>127</v>
      </c>
      <c r="D12" s="28" t="s">
        <v>72</v>
      </c>
      <c r="E12" s="99"/>
      <c r="F12" s="98"/>
      <c r="G12" s="99"/>
      <c r="H12" s="28"/>
      <c r="I12" s="28" t="s">
        <v>232</v>
      </c>
      <c r="J12" s="27" t="s">
        <v>223</v>
      </c>
    </row>
    <row r="13" spans="1:10" ht="31.2">
      <c r="B13" s="245"/>
      <c r="C13" s="100" t="s">
        <v>139</v>
      </c>
      <c r="D13" s="100" t="s">
        <v>72</v>
      </c>
      <c r="E13" s="98"/>
      <c r="F13" s="98"/>
      <c r="G13" s="98"/>
      <c r="H13" s="98"/>
      <c r="I13" s="100" t="s">
        <v>370</v>
      </c>
      <c r="J13" s="136" t="s">
        <v>369</v>
      </c>
    </row>
    <row r="14" spans="1:10" ht="16.8" thickBot="1">
      <c r="B14" s="246"/>
      <c r="C14" s="30"/>
      <c r="D14" s="30"/>
      <c r="E14" s="30"/>
      <c r="F14" s="30"/>
      <c r="G14" s="30"/>
      <c r="H14" s="30"/>
      <c r="I14" s="30"/>
      <c r="J14" s="29"/>
    </row>
    <row r="15" spans="1:10">
      <c r="B15" s="85"/>
      <c r="C15" s="83"/>
      <c r="D15" s="83"/>
      <c r="E15" s="83"/>
      <c r="F15" s="83"/>
      <c r="G15" s="83"/>
      <c r="H15" s="83"/>
      <c r="I15" s="83"/>
      <c r="J15" s="83"/>
    </row>
    <row r="16" spans="1:10" ht="16.8" thickBot="1"/>
    <row r="17" spans="2:10">
      <c r="B17" s="86" t="s">
        <v>42</v>
      </c>
      <c r="C17" s="251" t="s">
        <v>374</v>
      </c>
      <c r="D17" s="251"/>
      <c r="E17" s="251"/>
      <c r="F17" s="251"/>
      <c r="G17" s="251"/>
      <c r="H17" s="251"/>
      <c r="I17" s="251"/>
      <c r="J17" s="252"/>
    </row>
    <row r="18" spans="2:10">
      <c r="B18" s="87" t="s">
        <v>83</v>
      </c>
      <c r="C18" s="240" t="s">
        <v>263</v>
      </c>
      <c r="D18" s="240"/>
      <c r="E18" s="240"/>
      <c r="F18" s="240"/>
      <c r="G18" s="240"/>
      <c r="H18" s="240"/>
      <c r="I18" s="240"/>
      <c r="J18" s="241"/>
    </row>
    <row r="19" spans="2:10" ht="16.8" thickBot="1">
      <c r="B19" s="88" t="s">
        <v>5</v>
      </c>
      <c r="C19" s="242" t="s">
        <v>375</v>
      </c>
      <c r="D19" s="242"/>
      <c r="E19" s="242"/>
      <c r="F19" s="242"/>
      <c r="G19" s="242"/>
      <c r="H19" s="242"/>
      <c r="I19" s="242"/>
      <c r="J19" s="243"/>
    </row>
    <row r="20" spans="2:10" ht="16.8" thickBot="1">
      <c r="C20" s="84"/>
      <c r="D20" s="84"/>
      <c r="E20" s="84"/>
      <c r="F20" s="84"/>
      <c r="G20" s="84"/>
      <c r="H20" s="84"/>
      <c r="I20" s="84"/>
      <c r="J20" s="84"/>
    </row>
    <row r="21" spans="2:10">
      <c r="B21" s="244" t="s">
        <v>102</v>
      </c>
      <c r="C21" s="91" t="s">
        <v>106</v>
      </c>
      <c r="D21" s="91" t="s">
        <v>103</v>
      </c>
      <c r="E21" s="91" t="s">
        <v>107</v>
      </c>
      <c r="F21" s="91" t="s">
        <v>104</v>
      </c>
      <c r="G21" s="91" t="s">
        <v>108</v>
      </c>
      <c r="H21" s="91" t="s">
        <v>105</v>
      </c>
      <c r="I21" s="91" t="s">
        <v>24</v>
      </c>
      <c r="J21" s="96" t="s">
        <v>2</v>
      </c>
    </row>
    <row r="22" spans="2:10">
      <c r="B22" s="245"/>
      <c r="C22" s="28" t="s">
        <v>41</v>
      </c>
      <c r="D22" s="28" t="s">
        <v>72</v>
      </c>
      <c r="E22" s="28"/>
      <c r="F22" s="28"/>
      <c r="G22" s="28"/>
      <c r="H22" s="28"/>
      <c r="I22" s="28" t="s">
        <v>75</v>
      </c>
      <c r="J22" s="27" t="s">
        <v>27</v>
      </c>
    </row>
    <row r="23" spans="2:10">
      <c r="B23" s="245"/>
      <c r="C23" s="28" t="s">
        <v>114</v>
      </c>
      <c r="D23" s="28" t="s">
        <v>72</v>
      </c>
      <c r="E23" s="28"/>
      <c r="F23" s="28"/>
      <c r="G23" s="28"/>
      <c r="H23" s="28"/>
      <c r="I23" s="28" t="s">
        <v>76</v>
      </c>
      <c r="J23" s="27" t="s">
        <v>28</v>
      </c>
    </row>
    <row r="24" spans="2:10">
      <c r="B24" s="245"/>
      <c r="C24" s="31" t="s">
        <v>116</v>
      </c>
      <c r="D24" s="28" t="s">
        <v>72</v>
      </c>
      <c r="E24" s="28"/>
      <c r="F24" s="28"/>
      <c r="G24" s="28"/>
      <c r="H24" s="28"/>
      <c r="I24" s="28" t="s">
        <v>281</v>
      </c>
      <c r="J24" s="27" t="s">
        <v>260</v>
      </c>
    </row>
    <row r="25" spans="2:10">
      <c r="B25" s="245"/>
      <c r="C25" s="99" t="s">
        <v>127</v>
      </c>
      <c r="D25" s="28" t="s">
        <v>72</v>
      </c>
      <c r="E25" s="99"/>
      <c r="F25" s="98"/>
      <c r="G25" s="99"/>
      <c r="H25" s="28"/>
      <c r="I25" s="28" t="s">
        <v>232</v>
      </c>
      <c r="J25" s="27" t="s">
        <v>223</v>
      </c>
    </row>
    <row r="26" spans="2:10" ht="31.2">
      <c r="B26" s="245"/>
      <c r="C26" s="100" t="s">
        <v>139</v>
      </c>
      <c r="D26" s="100" t="s">
        <v>72</v>
      </c>
      <c r="E26" s="98"/>
      <c r="F26" s="98"/>
      <c r="G26" s="98"/>
      <c r="H26" s="98"/>
      <c r="I26" s="100" t="s">
        <v>370</v>
      </c>
      <c r="J26" s="136" t="s">
        <v>369</v>
      </c>
    </row>
    <row r="27" spans="2:10">
      <c r="B27" s="245"/>
      <c r="C27" s="28"/>
      <c r="D27" s="28"/>
      <c r="E27" s="28"/>
      <c r="F27" s="28"/>
      <c r="G27" s="28"/>
      <c r="H27" s="28"/>
      <c r="I27" s="28"/>
      <c r="J27" s="27"/>
    </row>
    <row r="28" spans="2:10" ht="16.8" thickBot="1">
      <c r="B28" s="246"/>
      <c r="C28" s="30"/>
      <c r="D28" s="30"/>
      <c r="E28" s="30"/>
      <c r="F28" s="30"/>
      <c r="G28" s="30"/>
      <c r="H28" s="30"/>
      <c r="I28" s="30"/>
      <c r="J28" s="29"/>
    </row>
    <row r="29" spans="2:10">
      <c r="B29" s="85"/>
      <c r="C29" s="83"/>
      <c r="D29" s="83"/>
      <c r="E29" s="83"/>
      <c r="F29" s="83"/>
      <c r="G29" s="83"/>
      <c r="H29" s="83"/>
      <c r="I29" s="83"/>
      <c r="J29" s="83"/>
    </row>
    <row r="30" spans="2:10" ht="57" customHeight="1">
      <c r="B30" s="89" t="s">
        <v>74</v>
      </c>
      <c r="C30" s="247"/>
      <c r="D30" s="248"/>
      <c r="E30" s="248"/>
      <c r="F30" s="248"/>
      <c r="G30" s="248"/>
      <c r="H30" s="248"/>
      <c r="I30" s="248"/>
      <c r="J30" s="249"/>
    </row>
    <row r="31" spans="2:10">
      <c r="B31" s="85"/>
      <c r="C31" s="83"/>
      <c r="D31" s="83"/>
      <c r="E31" s="83"/>
      <c r="F31" s="83"/>
      <c r="G31" s="83"/>
      <c r="H31" s="83"/>
      <c r="I31" s="83"/>
      <c r="J31" s="83"/>
    </row>
  </sheetData>
  <mergeCells count="10">
    <mergeCell ref="C5:J5"/>
    <mergeCell ref="C6:J6"/>
    <mergeCell ref="B8:B14"/>
    <mergeCell ref="C30:J30"/>
    <mergeCell ref="A1:C3"/>
    <mergeCell ref="C17:J17"/>
    <mergeCell ref="C18:J18"/>
    <mergeCell ref="C19:J19"/>
    <mergeCell ref="B21:B28"/>
    <mergeCell ref="C4:J4"/>
  </mergeCells>
  <phoneticPr fontId="1" type="noConversion"/>
  <conditionalFormatting sqref="C21:H21">
    <cfRule type="duplicateValues" dxfId="33" priority="18"/>
  </conditionalFormatting>
  <conditionalFormatting sqref="C8:H8">
    <cfRule type="duplicateValues" dxfId="32" priority="19"/>
  </conditionalFormatting>
  <hyperlinks>
    <hyperlink ref="A4" location="List!A1" display="LIST" xr:uid="{00000000-0004-0000-0C00-000000000000}"/>
  </hyperlink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封裝程式殼層物件" shapeId="57349" r:id="rId4">
          <objectPr defaultSize="0" r:id="rId5">
            <anchor moveWithCells="1">
              <from>
                <xdr:col>2</xdr:col>
                <xdr:colOff>289560</xdr:colOff>
                <xdr:row>29</xdr:row>
                <xdr:rowOff>106680</xdr:rowOff>
              </from>
              <to>
                <xdr:col>3</xdr:col>
                <xdr:colOff>640080</xdr:colOff>
                <xdr:row>29</xdr:row>
                <xdr:rowOff>617220</xdr:rowOff>
              </to>
            </anchor>
          </objectPr>
        </oleObject>
      </mc:Choice>
      <mc:Fallback>
        <oleObject progId="封裝程式殼層物件" shapeId="57349" r:id="rId4"/>
      </mc:Fallback>
    </mc:AlternateContent>
    <mc:AlternateContent xmlns:mc="http://schemas.openxmlformats.org/markup-compatibility/2006">
      <mc:Choice Requires="x14">
        <oleObject progId="封裝程式殼層物件" shapeId="57350" r:id="rId6">
          <objectPr defaultSize="0" r:id="rId7">
            <anchor moveWithCells="1">
              <from>
                <xdr:col>3</xdr:col>
                <xdr:colOff>762000</xdr:colOff>
                <xdr:row>29</xdr:row>
                <xdr:rowOff>106680</xdr:rowOff>
              </from>
              <to>
                <xdr:col>6</xdr:col>
                <xdr:colOff>449580</xdr:colOff>
                <xdr:row>29</xdr:row>
                <xdr:rowOff>617220</xdr:rowOff>
              </to>
            </anchor>
          </objectPr>
        </oleObject>
      </mc:Choice>
      <mc:Fallback>
        <oleObject progId="封裝程式殼層物件" shapeId="57350" r:id="rId6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7"/>
  <sheetViews>
    <sheetView showGridLines="0" topLeftCell="A22" zoomScale="90" zoomScaleNormal="90" workbookViewId="0">
      <selection activeCell="F51" sqref="F51"/>
    </sheetView>
  </sheetViews>
  <sheetFormatPr defaultColWidth="9" defaultRowHeight="16.2"/>
  <cols>
    <col min="1" max="1" width="9" style="3"/>
    <col min="2" max="2" width="18.77734375" style="3" customWidth="1"/>
    <col min="3" max="3" width="15.109375" style="3" customWidth="1"/>
    <col min="4" max="4" width="14.21875" style="3" bestFit="1" customWidth="1"/>
    <col min="5" max="5" width="20.6640625" style="3" customWidth="1"/>
    <col min="6" max="6" width="15.88671875" style="3" customWidth="1"/>
    <col min="7" max="7" width="17.6640625" style="3" customWidth="1"/>
    <col min="8" max="8" width="15.6640625" style="3" customWidth="1"/>
    <col min="9" max="9" width="43.44140625" style="3" customWidth="1"/>
    <col min="10" max="10" width="52.5546875" style="3" customWidth="1"/>
    <col min="11" max="16384" width="9" style="3"/>
  </cols>
  <sheetData>
    <row r="1" spans="1:10">
      <c r="A1" s="250"/>
      <c r="B1" s="250"/>
      <c r="C1" s="250"/>
    </row>
    <row r="2" spans="1:10">
      <c r="A2" s="250"/>
      <c r="B2" s="250"/>
      <c r="C2" s="250"/>
    </row>
    <row r="3" spans="1:10" ht="16.8" thickBot="1">
      <c r="A3" s="250"/>
      <c r="B3" s="250"/>
      <c r="C3" s="250"/>
    </row>
    <row r="4" spans="1:10">
      <c r="A4" s="90" t="s">
        <v>0</v>
      </c>
      <c r="B4" s="86" t="s">
        <v>42</v>
      </c>
      <c r="C4" s="251" t="s">
        <v>308</v>
      </c>
      <c r="D4" s="251"/>
      <c r="E4" s="251"/>
      <c r="F4" s="251"/>
      <c r="G4" s="251"/>
      <c r="H4" s="251"/>
      <c r="I4" s="251"/>
      <c r="J4" s="252"/>
    </row>
    <row r="5" spans="1:10">
      <c r="B5" s="87" t="s">
        <v>83</v>
      </c>
      <c r="C5" s="240" t="s">
        <v>264</v>
      </c>
      <c r="D5" s="240"/>
      <c r="E5" s="240"/>
      <c r="F5" s="240"/>
      <c r="G5" s="240"/>
      <c r="H5" s="240"/>
      <c r="I5" s="240"/>
      <c r="J5" s="241"/>
    </row>
    <row r="6" spans="1:10" ht="16.5" customHeight="1" thickBot="1">
      <c r="A6" s="4"/>
      <c r="B6" s="88" t="s">
        <v>5</v>
      </c>
      <c r="C6" s="242" t="s">
        <v>433</v>
      </c>
      <c r="D6" s="242"/>
      <c r="E6" s="242"/>
      <c r="F6" s="242"/>
      <c r="G6" s="242"/>
      <c r="H6" s="242"/>
      <c r="I6" s="242"/>
      <c r="J6" s="243"/>
    </row>
    <row r="7" spans="1:10" ht="6.6" customHeight="1" thickBot="1">
      <c r="A7" s="4"/>
      <c r="C7" s="84"/>
      <c r="D7" s="84"/>
      <c r="E7" s="84"/>
      <c r="F7" s="84"/>
      <c r="G7" s="84"/>
      <c r="H7" s="84"/>
      <c r="I7" s="84"/>
      <c r="J7" s="84"/>
    </row>
    <row r="8" spans="1:10" ht="16.5" customHeight="1">
      <c r="A8" s="4"/>
      <c r="B8" s="244" t="s">
        <v>102</v>
      </c>
      <c r="C8" s="91" t="s">
        <v>106</v>
      </c>
      <c r="D8" s="91" t="s">
        <v>103</v>
      </c>
      <c r="E8" s="91" t="s">
        <v>107</v>
      </c>
      <c r="F8" s="91" t="s">
        <v>104</v>
      </c>
      <c r="G8" s="91" t="s">
        <v>108</v>
      </c>
      <c r="H8" s="91" t="s">
        <v>105</v>
      </c>
      <c r="I8" s="91" t="s">
        <v>24</v>
      </c>
      <c r="J8" s="96" t="s">
        <v>2</v>
      </c>
    </row>
    <row r="9" spans="1:10">
      <c r="A9" s="4"/>
      <c r="B9" s="245"/>
      <c r="C9" s="28" t="s">
        <v>41</v>
      </c>
      <c r="D9" s="28" t="s">
        <v>72</v>
      </c>
      <c r="E9" s="28"/>
      <c r="F9" s="28"/>
      <c r="G9" s="28"/>
      <c r="H9" s="28"/>
      <c r="I9" s="28" t="s">
        <v>75</v>
      </c>
      <c r="J9" s="27" t="s">
        <v>27</v>
      </c>
    </row>
    <row r="10" spans="1:10">
      <c r="A10" s="4"/>
      <c r="B10" s="245"/>
      <c r="C10" s="28" t="s">
        <v>114</v>
      </c>
      <c r="D10" s="28" t="s">
        <v>72</v>
      </c>
      <c r="E10" s="28"/>
      <c r="F10" s="28"/>
      <c r="G10" s="28"/>
      <c r="H10" s="28"/>
      <c r="I10" s="28" t="s">
        <v>76</v>
      </c>
      <c r="J10" s="27" t="s">
        <v>28</v>
      </c>
    </row>
    <row r="11" spans="1:10">
      <c r="A11" s="4"/>
      <c r="B11" s="245"/>
      <c r="C11" s="28" t="s">
        <v>116</v>
      </c>
      <c r="D11" s="28" t="s">
        <v>72</v>
      </c>
      <c r="E11" s="28"/>
      <c r="F11" s="28"/>
      <c r="G11" s="28"/>
      <c r="H11" s="28"/>
      <c r="I11" s="28" t="s">
        <v>281</v>
      </c>
      <c r="J11" s="27" t="s">
        <v>260</v>
      </c>
    </row>
    <row r="12" spans="1:10">
      <c r="A12" s="4"/>
      <c r="B12" s="245"/>
      <c r="C12" s="28" t="s">
        <v>217</v>
      </c>
      <c r="D12" s="28" t="s">
        <v>97</v>
      </c>
      <c r="E12" s="28"/>
      <c r="F12" s="28"/>
      <c r="G12" s="28"/>
      <c r="H12" s="28"/>
      <c r="I12" s="28"/>
      <c r="J12" s="133"/>
    </row>
    <row r="13" spans="1:10">
      <c r="A13" s="4"/>
      <c r="B13" s="245"/>
      <c r="C13" s="99"/>
      <c r="D13" s="28"/>
      <c r="E13" s="99" t="s">
        <v>219</v>
      </c>
      <c r="F13" s="28" t="s">
        <v>72</v>
      </c>
      <c r="G13" s="28"/>
      <c r="H13" s="28"/>
      <c r="I13" s="28" t="s">
        <v>232</v>
      </c>
      <c r="J13" s="27" t="s">
        <v>223</v>
      </c>
    </row>
    <row r="14" spans="1:10" ht="31.2">
      <c r="A14" s="4"/>
      <c r="B14" s="245"/>
      <c r="C14" s="28"/>
      <c r="D14" s="28"/>
      <c r="E14" s="95" t="s">
        <v>220</v>
      </c>
      <c r="F14" s="95" t="s">
        <v>72</v>
      </c>
      <c r="G14" s="95"/>
      <c r="H14" s="95"/>
      <c r="I14" s="95" t="s">
        <v>237</v>
      </c>
      <c r="J14" s="27" t="s">
        <v>236</v>
      </c>
    </row>
    <row r="15" spans="1:10">
      <c r="A15" s="4"/>
      <c r="B15" s="245"/>
      <c r="C15" s="28"/>
      <c r="D15" s="28"/>
      <c r="E15" s="95" t="s">
        <v>357</v>
      </c>
      <c r="F15" s="95" t="s">
        <v>91</v>
      </c>
      <c r="G15" s="95"/>
      <c r="H15" s="95"/>
      <c r="I15" s="95" t="s">
        <v>358</v>
      </c>
      <c r="J15" s="27" t="s">
        <v>359</v>
      </c>
    </row>
    <row r="16" spans="1:10">
      <c r="A16" s="4"/>
      <c r="B16" s="245"/>
      <c r="C16" s="28"/>
      <c r="D16" s="28"/>
      <c r="E16" s="28" t="s">
        <v>121</v>
      </c>
      <c r="F16" s="28" t="s">
        <v>72</v>
      </c>
      <c r="G16" s="28"/>
      <c r="H16" s="28"/>
      <c r="I16" s="28" t="s">
        <v>87</v>
      </c>
      <c r="J16" s="27" t="s">
        <v>34</v>
      </c>
    </row>
    <row r="17" spans="1:10">
      <c r="A17" s="4"/>
      <c r="B17" s="245"/>
      <c r="C17" s="28"/>
      <c r="D17" s="28"/>
      <c r="E17" s="138" t="s">
        <v>235</v>
      </c>
      <c r="F17" s="138" t="s">
        <v>72</v>
      </c>
      <c r="G17" s="138"/>
      <c r="H17" s="138"/>
      <c r="I17" s="140" t="s">
        <v>221</v>
      </c>
      <c r="J17" s="141" t="s">
        <v>222</v>
      </c>
    </row>
    <row r="18" spans="1:10">
      <c r="A18" s="4"/>
      <c r="B18" s="245"/>
      <c r="C18" s="28"/>
      <c r="D18" s="28"/>
      <c r="E18" s="28" t="s">
        <v>225</v>
      </c>
      <c r="F18" s="28" t="s">
        <v>72</v>
      </c>
      <c r="G18" s="28"/>
      <c r="H18" s="28"/>
      <c r="I18" s="28" t="s">
        <v>226</v>
      </c>
      <c r="J18" s="27" t="s">
        <v>227</v>
      </c>
    </row>
    <row r="19" spans="1:10">
      <c r="A19" s="4"/>
      <c r="B19" s="245"/>
      <c r="C19" s="28"/>
      <c r="D19" s="28"/>
      <c r="E19" s="28" t="s">
        <v>224</v>
      </c>
      <c r="F19" s="28" t="s">
        <v>72</v>
      </c>
      <c r="G19" s="28"/>
      <c r="H19" s="28"/>
      <c r="I19" s="28" t="s">
        <v>101</v>
      </c>
      <c r="J19" s="27" t="s">
        <v>362</v>
      </c>
    </row>
    <row r="20" spans="1:10" ht="124.8">
      <c r="A20" s="4"/>
      <c r="B20" s="245"/>
      <c r="C20" s="28"/>
      <c r="D20" s="28"/>
      <c r="E20" s="139" t="s">
        <v>128</v>
      </c>
      <c r="F20" s="139" t="s">
        <v>137</v>
      </c>
      <c r="G20" s="95"/>
      <c r="H20" s="95"/>
      <c r="I20" s="134" t="s">
        <v>45</v>
      </c>
      <c r="J20" s="135" t="s">
        <v>355</v>
      </c>
    </row>
    <row r="21" spans="1:10" ht="46.8">
      <c r="A21" s="4"/>
      <c r="B21" s="245"/>
      <c r="C21" s="98"/>
      <c r="D21" s="98"/>
      <c r="E21" s="100" t="s">
        <v>360</v>
      </c>
      <c r="F21" s="95" t="s">
        <v>72</v>
      </c>
      <c r="G21" s="100"/>
      <c r="H21" s="95"/>
      <c r="I21" s="116" t="s">
        <v>229</v>
      </c>
      <c r="J21" s="35" t="s">
        <v>361</v>
      </c>
    </row>
    <row r="22" spans="1:10">
      <c r="A22" s="4"/>
      <c r="B22" s="245"/>
      <c r="C22" s="28"/>
      <c r="D22" s="28"/>
      <c r="E22" s="102" t="s">
        <v>134</v>
      </c>
      <c r="F22" s="98" t="s">
        <v>72</v>
      </c>
      <c r="G22" s="95"/>
      <c r="H22" s="95"/>
      <c r="I22" s="28" t="s">
        <v>161</v>
      </c>
      <c r="J22" s="97" t="s">
        <v>356</v>
      </c>
    </row>
    <row r="23" spans="1:10">
      <c r="A23" s="4"/>
      <c r="B23" s="245"/>
      <c r="C23" s="28"/>
      <c r="D23" s="28"/>
      <c r="E23" s="138" t="s">
        <v>234</v>
      </c>
      <c r="F23" s="138" t="s">
        <v>72</v>
      </c>
      <c r="G23" s="138"/>
      <c r="H23" s="138"/>
      <c r="I23" s="140" t="s">
        <v>76</v>
      </c>
      <c r="J23" s="141" t="s">
        <v>228</v>
      </c>
    </row>
    <row r="24" spans="1:10" ht="31.2">
      <c r="A24" s="4"/>
      <c r="B24" s="245"/>
      <c r="C24" s="98"/>
      <c r="D24" s="98"/>
      <c r="E24" s="100" t="s">
        <v>139</v>
      </c>
      <c r="F24" s="100" t="s">
        <v>72</v>
      </c>
      <c r="G24" s="98"/>
      <c r="H24" s="98"/>
      <c r="I24" s="100" t="s">
        <v>370</v>
      </c>
      <c r="J24" s="136" t="s">
        <v>369</v>
      </c>
    </row>
    <row r="25" spans="1:10">
      <c r="A25" s="4"/>
      <c r="B25" s="245"/>
      <c r="C25" s="98"/>
      <c r="D25" s="98"/>
      <c r="E25" s="98" t="s">
        <v>230</v>
      </c>
      <c r="F25" s="28" t="s">
        <v>72</v>
      </c>
      <c r="G25" s="100"/>
      <c r="H25" s="95"/>
      <c r="I25" s="34" t="s">
        <v>231</v>
      </c>
      <c r="J25" s="35" t="s">
        <v>354</v>
      </c>
    </row>
    <row r="26" spans="1:10">
      <c r="A26" s="4"/>
      <c r="B26" s="245"/>
      <c r="C26" s="98"/>
      <c r="D26" s="98"/>
      <c r="E26" s="98" t="s">
        <v>351</v>
      </c>
      <c r="F26" s="28" t="s">
        <v>72</v>
      </c>
      <c r="G26" s="100"/>
      <c r="H26" s="95"/>
      <c r="I26" s="34" t="s">
        <v>350</v>
      </c>
      <c r="J26" s="35" t="s">
        <v>348</v>
      </c>
    </row>
    <row r="27" spans="1:10">
      <c r="A27" s="4"/>
      <c r="B27" s="245"/>
      <c r="C27" s="98"/>
      <c r="D27" s="98"/>
      <c r="E27" s="98" t="s">
        <v>353</v>
      </c>
      <c r="F27" s="28" t="s">
        <v>72</v>
      </c>
      <c r="G27" s="100"/>
      <c r="H27" s="95"/>
      <c r="I27" s="34" t="s">
        <v>350</v>
      </c>
      <c r="J27" s="34" t="s">
        <v>349</v>
      </c>
    </row>
    <row r="28" spans="1:10">
      <c r="A28" s="4"/>
      <c r="B28" s="245"/>
      <c r="C28" s="98"/>
      <c r="D28" s="98"/>
      <c r="E28" s="98" t="s">
        <v>352</v>
      </c>
      <c r="F28" s="28" t="s">
        <v>72</v>
      </c>
      <c r="G28" s="100"/>
      <c r="H28" s="95"/>
      <c r="I28" s="34" t="s">
        <v>350</v>
      </c>
      <c r="J28" s="34" t="s">
        <v>349</v>
      </c>
    </row>
    <row r="29" spans="1:10">
      <c r="A29" s="4"/>
      <c r="B29" s="245"/>
      <c r="C29" s="98"/>
      <c r="D29" s="98"/>
      <c r="E29" s="98" t="s">
        <v>363</v>
      </c>
      <c r="F29" s="28" t="s">
        <v>72</v>
      </c>
      <c r="G29" s="100"/>
      <c r="H29" s="95"/>
      <c r="I29" s="34" t="s">
        <v>350</v>
      </c>
      <c r="J29" s="34" t="s">
        <v>364</v>
      </c>
    </row>
    <row r="30" spans="1:10">
      <c r="B30" s="245"/>
      <c r="C30" s="28"/>
      <c r="D30" s="28"/>
      <c r="E30" s="28"/>
      <c r="F30" s="28"/>
      <c r="G30" s="28"/>
      <c r="H30" s="28"/>
      <c r="I30" s="28"/>
      <c r="J30" s="27"/>
    </row>
    <row r="31" spans="1:10" ht="16.8" thickBot="1">
      <c r="B31" s="246"/>
      <c r="C31" s="30"/>
      <c r="D31" s="30"/>
      <c r="E31" s="30"/>
      <c r="F31" s="30"/>
      <c r="G31" s="30"/>
      <c r="H31" s="30"/>
      <c r="I31" s="30"/>
      <c r="J31" s="29"/>
    </row>
    <row r="32" spans="1:10">
      <c r="B32" s="85"/>
      <c r="C32" s="83"/>
      <c r="D32" s="83"/>
      <c r="E32" s="83"/>
      <c r="F32" s="83"/>
      <c r="G32" s="83"/>
      <c r="H32" s="83"/>
      <c r="I32" s="83"/>
      <c r="J32" s="83"/>
    </row>
    <row r="33" spans="2:10" ht="16.8" thickBot="1"/>
    <row r="34" spans="2:10">
      <c r="B34" s="86" t="s">
        <v>42</v>
      </c>
      <c r="C34" s="251" t="s">
        <v>309</v>
      </c>
      <c r="D34" s="251"/>
      <c r="E34" s="251"/>
      <c r="F34" s="251"/>
      <c r="G34" s="251"/>
      <c r="H34" s="251"/>
      <c r="I34" s="251"/>
      <c r="J34" s="252"/>
    </row>
    <row r="35" spans="2:10">
      <c r="B35" s="87" t="s">
        <v>83</v>
      </c>
      <c r="C35" s="240" t="s">
        <v>263</v>
      </c>
      <c r="D35" s="240"/>
      <c r="E35" s="240"/>
      <c r="F35" s="240"/>
      <c r="G35" s="240"/>
      <c r="H35" s="240"/>
      <c r="I35" s="240"/>
      <c r="J35" s="241"/>
    </row>
    <row r="36" spans="2:10" ht="16.8" thickBot="1">
      <c r="B36" s="88" t="s">
        <v>5</v>
      </c>
      <c r="C36" s="242" t="s">
        <v>383</v>
      </c>
      <c r="D36" s="242"/>
      <c r="E36" s="242"/>
      <c r="F36" s="242"/>
      <c r="G36" s="242"/>
      <c r="H36" s="242"/>
      <c r="I36" s="242"/>
      <c r="J36" s="243"/>
    </row>
    <row r="37" spans="2:10" ht="16.8" thickBot="1">
      <c r="C37" s="84"/>
      <c r="D37" s="84"/>
      <c r="E37" s="84"/>
      <c r="F37" s="84"/>
      <c r="G37" s="84"/>
      <c r="H37" s="84"/>
      <c r="I37" s="84"/>
      <c r="J37" s="84"/>
    </row>
    <row r="38" spans="2:10">
      <c r="B38" s="244" t="s">
        <v>102</v>
      </c>
      <c r="C38" s="91" t="s">
        <v>106</v>
      </c>
      <c r="D38" s="91" t="s">
        <v>103</v>
      </c>
      <c r="E38" s="91" t="s">
        <v>107</v>
      </c>
      <c r="F38" s="91" t="s">
        <v>104</v>
      </c>
      <c r="G38" s="91" t="s">
        <v>108</v>
      </c>
      <c r="H38" s="91" t="s">
        <v>105</v>
      </c>
      <c r="I38" s="91" t="s">
        <v>24</v>
      </c>
      <c r="J38" s="96" t="s">
        <v>2</v>
      </c>
    </row>
    <row r="39" spans="2:10">
      <c r="B39" s="245"/>
      <c r="C39" s="28" t="s">
        <v>41</v>
      </c>
      <c r="D39" s="28" t="s">
        <v>72</v>
      </c>
      <c r="E39" s="28"/>
      <c r="F39" s="28"/>
      <c r="G39" s="28"/>
      <c r="H39" s="28"/>
      <c r="I39" s="28" t="s">
        <v>75</v>
      </c>
      <c r="J39" s="27" t="s">
        <v>27</v>
      </c>
    </row>
    <row r="40" spans="2:10">
      <c r="B40" s="245"/>
      <c r="C40" s="28" t="s">
        <v>114</v>
      </c>
      <c r="D40" s="28" t="s">
        <v>72</v>
      </c>
      <c r="E40" s="28"/>
      <c r="F40" s="28"/>
      <c r="G40" s="28"/>
      <c r="H40" s="28"/>
      <c r="I40" s="28" t="s">
        <v>76</v>
      </c>
      <c r="J40" s="27" t="s">
        <v>28</v>
      </c>
    </row>
    <row r="41" spans="2:10">
      <c r="B41" s="245"/>
      <c r="C41" s="31" t="s">
        <v>116</v>
      </c>
      <c r="D41" s="28" t="s">
        <v>72</v>
      </c>
      <c r="E41" s="28"/>
      <c r="F41" s="28"/>
      <c r="G41" s="28"/>
      <c r="H41" s="28"/>
      <c r="I41" s="28" t="s">
        <v>281</v>
      </c>
      <c r="J41" s="27" t="s">
        <v>260</v>
      </c>
    </row>
    <row r="42" spans="2:10">
      <c r="B42" s="245"/>
      <c r="C42" s="99" t="s">
        <v>127</v>
      </c>
      <c r="D42" s="28" t="s">
        <v>72</v>
      </c>
      <c r="E42" s="28"/>
      <c r="F42" s="28"/>
      <c r="G42" s="28"/>
      <c r="H42" s="28"/>
      <c r="I42" s="28" t="s">
        <v>232</v>
      </c>
      <c r="J42" s="27" t="s">
        <v>223</v>
      </c>
    </row>
    <row r="43" spans="2:10">
      <c r="B43" s="245"/>
      <c r="C43" s="28"/>
      <c r="D43" s="28"/>
      <c r="E43" s="28"/>
      <c r="F43" s="28"/>
      <c r="G43" s="28"/>
      <c r="H43" s="28"/>
      <c r="I43" s="28"/>
      <c r="J43" s="27"/>
    </row>
    <row r="44" spans="2:10" ht="16.8" thickBot="1">
      <c r="B44" s="246"/>
      <c r="C44" s="30"/>
      <c r="D44" s="30"/>
      <c r="E44" s="30"/>
      <c r="F44" s="30"/>
      <c r="G44" s="30"/>
      <c r="H44" s="30"/>
      <c r="I44" s="30"/>
      <c r="J44" s="29"/>
    </row>
    <row r="45" spans="2:10">
      <c r="B45" s="85"/>
      <c r="C45" s="83"/>
      <c r="D45" s="83"/>
      <c r="E45" s="83"/>
      <c r="F45" s="83"/>
      <c r="G45" s="83"/>
      <c r="H45" s="83"/>
      <c r="I45" s="83"/>
      <c r="J45" s="83"/>
    </row>
    <row r="46" spans="2:10" ht="63" customHeight="1">
      <c r="B46" s="89" t="s">
        <v>74</v>
      </c>
      <c r="C46" s="247"/>
      <c r="D46" s="248"/>
      <c r="E46" s="248"/>
      <c r="F46" s="248"/>
      <c r="G46" s="248"/>
      <c r="H46" s="248"/>
      <c r="I46" s="248"/>
      <c r="J46" s="249"/>
    </row>
    <row r="47" spans="2:10">
      <c r="B47" s="85"/>
      <c r="C47" s="83"/>
      <c r="D47" s="83"/>
      <c r="E47" s="83"/>
      <c r="F47" s="83"/>
      <c r="G47" s="83"/>
      <c r="H47" s="83"/>
      <c r="I47" s="83"/>
      <c r="J47" s="83"/>
    </row>
  </sheetData>
  <mergeCells count="10">
    <mergeCell ref="C5:J5"/>
    <mergeCell ref="C6:J6"/>
    <mergeCell ref="B8:B31"/>
    <mergeCell ref="C46:J46"/>
    <mergeCell ref="A1:C3"/>
    <mergeCell ref="C34:J34"/>
    <mergeCell ref="C35:J35"/>
    <mergeCell ref="C36:J36"/>
    <mergeCell ref="B38:B44"/>
    <mergeCell ref="C4:J4"/>
  </mergeCells>
  <phoneticPr fontId="1" type="noConversion"/>
  <conditionalFormatting sqref="C38:H38">
    <cfRule type="duplicateValues" dxfId="31" priority="24"/>
  </conditionalFormatting>
  <conditionalFormatting sqref="C8:H8">
    <cfRule type="duplicateValues" dxfId="30" priority="25"/>
  </conditionalFormatting>
  <hyperlinks>
    <hyperlink ref="A4" location="List!A1" display="LIST" xr:uid="{00000000-0004-0000-0D00-000000000000}"/>
  </hyperlink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封裝程式殼層物件" shapeId="58375" r:id="rId4">
          <objectPr defaultSize="0" r:id="rId5">
            <anchor moveWithCells="1">
              <from>
                <xdr:col>2</xdr:col>
                <xdr:colOff>388620</xdr:colOff>
                <xdr:row>45</xdr:row>
                <xdr:rowOff>167640</xdr:rowOff>
              </from>
              <to>
                <xdr:col>3</xdr:col>
                <xdr:colOff>708660</xdr:colOff>
                <xdr:row>45</xdr:row>
                <xdr:rowOff>685800</xdr:rowOff>
              </to>
            </anchor>
          </objectPr>
        </oleObject>
      </mc:Choice>
      <mc:Fallback>
        <oleObject progId="封裝程式殼層物件" shapeId="58375" r:id="rId4"/>
      </mc:Fallback>
    </mc:AlternateContent>
    <mc:AlternateContent xmlns:mc="http://schemas.openxmlformats.org/markup-compatibility/2006">
      <mc:Choice Requires="x14">
        <oleObject progId="封裝程式殼層物件" shapeId="58376" r:id="rId6">
          <objectPr defaultSize="0" r:id="rId7">
            <anchor moveWithCells="1">
              <from>
                <xdr:col>3</xdr:col>
                <xdr:colOff>815340</xdr:colOff>
                <xdr:row>45</xdr:row>
                <xdr:rowOff>160020</xdr:rowOff>
              </from>
              <to>
                <xdr:col>5</xdr:col>
                <xdr:colOff>152400</xdr:colOff>
                <xdr:row>45</xdr:row>
                <xdr:rowOff>670560</xdr:rowOff>
              </to>
            </anchor>
          </objectPr>
        </oleObject>
      </mc:Choice>
      <mc:Fallback>
        <oleObject progId="封裝程式殼層物件" shapeId="58376" r:id="rId6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9"/>
  <sheetViews>
    <sheetView showGridLines="0" zoomScale="90" zoomScaleNormal="90" workbookViewId="0">
      <selection activeCell="H34" sqref="H34"/>
    </sheetView>
  </sheetViews>
  <sheetFormatPr defaultColWidth="9" defaultRowHeight="16.2"/>
  <cols>
    <col min="1" max="1" width="9" style="3"/>
    <col min="2" max="2" width="18.77734375" style="3" customWidth="1"/>
    <col min="3" max="3" width="18.6640625" style="3" customWidth="1"/>
    <col min="4" max="4" width="14.21875" style="3" bestFit="1" customWidth="1"/>
    <col min="5" max="5" width="10.44140625" style="3" bestFit="1" customWidth="1"/>
    <col min="6" max="6" width="15.109375" style="3" customWidth="1"/>
    <col min="7" max="7" width="15.44140625" style="3" bestFit="1" customWidth="1"/>
    <col min="8" max="8" width="14.21875" style="3" bestFit="1" customWidth="1"/>
    <col min="9" max="9" width="30.109375" style="3" bestFit="1" customWidth="1"/>
    <col min="10" max="10" width="60.21875" style="3" customWidth="1"/>
    <col min="11" max="16384" width="9" style="3"/>
  </cols>
  <sheetData>
    <row r="1" spans="1:10">
      <c r="A1" s="250"/>
      <c r="B1" s="250"/>
      <c r="C1" s="250"/>
    </row>
    <row r="2" spans="1:10">
      <c r="A2" s="250"/>
      <c r="B2" s="250"/>
      <c r="C2" s="250"/>
    </row>
    <row r="3" spans="1:10" ht="16.8" thickBot="1">
      <c r="A3" s="250"/>
      <c r="B3" s="250"/>
      <c r="C3" s="250"/>
    </row>
    <row r="4" spans="1:10">
      <c r="A4" s="90" t="s">
        <v>0</v>
      </c>
      <c r="B4" s="86" t="s">
        <v>42</v>
      </c>
      <c r="C4" s="251" t="s">
        <v>481</v>
      </c>
      <c r="D4" s="251"/>
      <c r="E4" s="251"/>
      <c r="F4" s="251"/>
      <c r="G4" s="251"/>
      <c r="H4" s="251"/>
      <c r="I4" s="251"/>
      <c r="J4" s="252"/>
    </row>
    <row r="5" spans="1:10">
      <c r="B5" s="87" t="s">
        <v>83</v>
      </c>
      <c r="C5" s="240" t="s">
        <v>263</v>
      </c>
      <c r="D5" s="240"/>
      <c r="E5" s="240"/>
      <c r="F5" s="240"/>
      <c r="G5" s="240"/>
      <c r="H5" s="240"/>
      <c r="I5" s="240"/>
      <c r="J5" s="241"/>
    </row>
    <row r="6" spans="1:10" ht="16.5" customHeight="1" thickBot="1">
      <c r="A6" s="4"/>
      <c r="B6" s="88" t="s">
        <v>5</v>
      </c>
      <c r="C6" s="242" t="s">
        <v>432</v>
      </c>
      <c r="D6" s="242"/>
      <c r="E6" s="242"/>
      <c r="F6" s="242"/>
      <c r="G6" s="242"/>
      <c r="H6" s="242"/>
      <c r="I6" s="242"/>
      <c r="J6" s="243"/>
    </row>
    <row r="7" spans="1:10" ht="6.6" customHeight="1" thickBot="1">
      <c r="A7" s="4"/>
      <c r="C7" s="84"/>
      <c r="D7" s="84"/>
      <c r="E7" s="84"/>
      <c r="F7" s="84"/>
      <c r="G7" s="84"/>
      <c r="H7" s="84"/>
      <c r="I7" s="84"/>
      <c r="J7" s="84"/>
    </row>
    <row r="8" spans="1:10" ht="16.5" customHeight="1">
      <c r="A8" s="4"/>
      <c r="B8" s="244" t="s">
        <v>102</v>
      </c>
      <c r="C8" s="91" t="s">
        <v>106</v>
      </c>
      <c r="D8" s="91" t="s">
        <v>103</v>
      </c>
      <c r="E8" s="91" t="s">
        <v>107</v>
      </c>
      <c r="F8" s="91" t="s">
        <v>104</v>
      </c>
      <c r="G8" s="91" t="s">
        <v>108</v>
      </c>
      <c r="H8" s="91" t="s">
        <v>105</v>
      </c>
      <c r="I8" s="91" t="s">
        <v>24</v>
      </c>
      <c r="J8" s="96" t="s">
        <v>2</v>
      </c>
    </row>
    <row r="9" spans="1:10">
      <c r="A9" s="4"/>
      <c r="B9" s="245"/>
      <c r="C9" s="28" t="s">
        <v>41</v>
      </c>
      <c r="D9" s="28" t="s">
        <v>72</v>
      </c>
      <c r="E9" s="28"/>
      <c r="F9" s="28"/>
      <c r="G9" s="28"/>
      <c r="H9" s="28"/>
      <c r="I9" s="28" t="s">
        <v>75</v>
      </c>
      <c r="J9" s="27" t="s">
        <v>27</v>
      </c>
    </row>
    <row r="10" spans="1:10">
      <c r="A10" s="4"/>
      <c r="B10" s="245"/>
      <c r="C10" s="28" t="s">
        <v>114</v>
      </c>
      <c r="D10" s="28" t="s">
        <v>72</v>
      </c>
      <c r="E10" s="28"/>
      <c r="F10" s="28"/>
      <c r="G10" s="28"/>
      <c r="H10" s="28"/>
      <c r="I10" s="28" t="s">
        <v>76</v>
      </c>
      <c r="J10" s="27" t="s">
        <v>28</v>
      </c>
    </row>
    <row r="11" spans="1:10">
      <c r="A11" s="4"/>
      <c r="B11" s="245"/>
      <c r="C11" s="31" t="s">
        <v>116</v>
      </c>
      <c r="D11" s="28" t="s">
        <v>72</v>
      </c>
      <c r="E11" s="28"/>
      <c r="F11" s="28"/>
      <c r="G11" s="28"/>
      <c r="H11" s="28"/>
      <c r="I11" s="28" t="s">
        <v>281</v>
      </c>
      <c r="J11" s="27" t="s">
        <v>260</v>
      </c>
    </row>
    <row r="12" spans="1:10">
      <c r="A12" s="4"/>
      <c r="B12" s="245"/>
      <c r="C12" s="99" t="s">
        <v>127</v>
      </c>
      <c r="D12" s="28" t="s">
        <v>72</v>
      </c>
      <c r="E12" s="99"/>
      <c r="F12" s="98"/>
      <c r="G12" s="99"/>
      <c r="H12" s="28"/>
      <c r="I12" s="28" t="s">
        <v>232</v>
      </c>
      <c r="J12" s="27" t="s">
        <v>223</v>
      </c>
    </row>
    <row r="13" spans="1:10">
      <c r="A13" s="4"/>
      <c r="B13" s="253"/>
      <c r="C13" s="107"/>
      <c r="D13" s="104"/>
      <c r="E13" s="107"/>
      <c r="F13" s="105"/>
      <c r="G13" s="107"/>
      <c r="H13" s="104"/>
      <c r="I13" s="104"/>
      <c r="J13" s="106"/>
    </row>
    <row r="14" spans="1:10" ht="16.8" thickBot="1">
      <c r="A14" s="4"/>
      <c r="B14" s="246"/>
      <c r="C14" s="30"/>
      <c r="D14" s="30"/>
      <c r="E14" s="30"/>
      <c r="F14" s="30"/>
      <c r="G14" s="30"/>
      <c r="H14" s="30"/>
      <c r="I14" s="30"/>
      <c r="J14" s="29"/>
    </row>
    <row r="15" spans="1:10">
      <c r="A15" s="84"/>
      <c r="B15" s="85"/>
      <c r="C15" s="83"/>
      <c r="D15" s="83"/>
      <c r="E15" s="83"/>
      <c r="F15" s="83"/>
      <c r="G15" s="83"/>
      <c r="H15" s="83"/>
      <c r="I15" s="83"/>
      <c r="J15" s="83"/>
    </row>
    <row r="16" spans="1:10" ht="16.8" thickBot="1">
      <c r="A16" s="84"/>
      <c r="B16" s="85"/>
      <c r="C16" s="83"/>
      <c r="D16" s="83"/>
      <c r="E16" s="83"/>
      <c r="F16" s="83"/>
      <c r="G16" s="83"/>
      <c r="H16" s="83"/>
      <c r="I16" s="83"/>
      <c r="J16" s="83"/>
    </row>
    <row r="17" spans="1:10" ht="16.2" customHeight="1">
      <c r="A17" s="84"/>
      <c r="B17" s="86" t="s">
        <v>42</v>
      </c>
      <c r="C17" s="251" t="s">
        <v>482</v>
      </c>
      <c r="D17" s="251"/>
      <c r="E17" s="251"/>
      <c r="F17" s="251"/>
      <c r="G17" s="251"/>
      <c r="H17" s="251"/>
      <c r="I17" s="251"/>
      <c r="J17" s="252"/>
    </row>
    <row r="18" spans="1:10">
      <c r="A18" s="84"/>
      <c r="B18" s="87" t="s">
        <v>83</v>
      </c>
      <c r="C18" s="240" t="s">
        <v>264</v>
      </c>
      <c r="D18" s="240"/>
      <c r="E18" s="240"/>
      <c r="F18" s="240"/>
      <c r="G18" s="240"/>
      <c r="H18" s="240"/>
      <c r="I18" s="240"/>
      <c r="J18" s="241"/>
    </row>
    <row r="19" spans="1:10" ht="16.8" thickBot="1">
      <c r="A19" s="4"/>
      <c r="B19" s="88" t="s">
        <v>5</v>
      </c>
      <c r="C19" s="242" t="s">
        <v>377</v>
      </c>
      <c r="D19" s="242"/>
      <c r="E19" s="242"/>
      <c r="F19" s="242"/>
      <c r="G19" s="242"/>
      <c r="H19" s="242"/>
      <c r="I19" s="242"/>
      <c r="J19" s="243"/>
    </row>
    <row r="20" spans="1:10" ht="10.199999999999999" customHeight="1" thickBot="1">
      <c r="A20" s="4"/>
      <c r="C20" s="84"/>
      <c r="D20" s="84"/>
      <c r="E20" s="84"/>
      <c r="F20" s="84"/>
      <c r="G20" s="84"/>
      <c r="H20" s="84"/>
      <c r="I20" s="84"/>
      <c r="J20" s="84"/>
    </row>
    <row r="21" spans="1:10">
      <c r="B21" s="244" t="s">
        <v>102</v>
      </c>
      <c r="C21" s="91" t="s">
        <v>106</v>
      </c>
      <c r="D21" s="91" t="s">
        <v>103</v>
      </c>
      <c r="E21" s="91" t="s">
        <v>107</v>
      </c>
      <c r="F21" s="91" t="s">
        <v>104</v>
      </c>
      <c r="G21" s="91" t="s">
        <v>108</v>
      </c>
      <c r="H21" s="91" t="s">
        <v>105</v>
      </c>
      <c r="I21" s="91" t="s">
        <v>24</v>
      </c>
      <c r="J21" s="96" t="s">
        <v>2</v>
      </c>
    </row>
    <row r="22" spans="1:10">
      <c r="B22" s="245"/>
      <c r="C22" s="28" t="s">
        <v>41</v>
      </c>
      <c r="D22" s="28" t="s">
        <v>72</v>
      </c>
      <c r="E22" s="28"/>
      <c r="F22" s="28"/>
      <c r="G22" s="28"/>
      <c r="H22" s="28"/>
      <c r="I22" s="28" t="s">
        <v>75</v>
      </c>
      <c r="J22" s="27" t="s">
        <v>27</v>
      </c>
    </row>
    <row r="23" spans="1:10">
      <c r="B23" s="245"/>
      <c r="C23" s="28" t="s">
        <v>114</v>
      </c>
      <c r="D23" s="28" t="s">
        <v>72</v>
      </c>
      <c r="E23" s="28"/>
      <c r="F23" s="28"/>
      <c r="G23" s="28"/>
      <c r="H23" s="28"/>
      <c r="I23" s="28" t="s">
        <v>76</v>
      </c>
      <c r="J23" s="27" t="s">
        <v>28</v>
      </c>
    </row>
    <row r="24" spans="1:10">
      <c r="B24" s="245"/>
      <c r="C24" s="28" t="s">
        <v>116</v>
      </c>
      <c r="D24" s="28" t="s">
        <v>72</v>
      </c>
      <c r="E24" s="28"/>
      <c r="F24" s="28"/>
      <c r="G24" s="28"/>
      <c r="H24" s="28"/>
      <c r="I24" s="28" t="s">
        <v>281</v>
      </c>
      <c r="J24" s="27" t="s">
        <v>260</v>
      </c>
    </row>
    <row r="25" spans="1:10">
      <c r="B25" s="245"/>
      <c r="C25" s="99" t="s">
        <v>127</v>
      </c>
      <c r="D25" s="28" t="s">
        <v>72</v>
      </c>
      <c r="E25" s="99"/>
      <c r="F25" s="98"/>
      <c r="G25" s="99"/>
      <c r="H25" s="28"/>
      <c r="I25" s="28" t="s">
        <v>232</v>
      </c>
      <c r="J25" s="27" t="s">
        <v>223</v>
      </c>
    </row>
    <row r="26" spans="1:10">
      <c r="B26" s="245"/>
      <c r="C26" s="28"/>
      <c r="D26" s="28"/>
      <c r="E26" s="28"/>
      <c r="F26" s="28"/>
      <c r="G26" s="28"/>
      <c r="H26" s="28"/>
      <c r="I26" s="28"/>
      <c r="J26" s="27"/>
    </row>
    <row r="27" spans="1:10" ht="16.8" thickBot="1">
      <c r="B27" s="246"/>
      <c r="C27" s="30"/>
      <c r="D27" s="30"/>
      <c r="E27" s="30"/>
      <c r="F27" s="30"/>
      <c r="G27" s="30"/>
      <c r="H27" s="30"/>
      <c r="I27" s="30"/>
      <c r="J27" s="29"/>
    </row>
    <row r="28" spans="1:10">
      <c r="B28" s="85"/>
      <c r="C28" s="83"/>
      <c r="D28" s="83"/>
      <c r="E28" s="83"/>
      <c r="F28" s="83"/>
      <c r="G28" s="83"/>
      <c r="H28" s="83"/>
      <c r="I28" s="83"/>
      <c r="J28" s="83"/>
    </row>
    <row r="29" spans="1:10" ht="65.400000000000006" customHeight="1">
      <c r="B29" s="89" t="s">
        <v>74</v>
      </c>
      <c r="C29" s="247"/>
      <c r="D29" s="248"/>
      <c r="E29" s="248"/>
      <c r="F29" s="248"/>
      <c r="G29" s="248"/>
      <c r="H29" s="248"/>
      <c r="I29" s="248"/>
      <c r="J29" s="249"/>
    </row>
  </sheetData>
  <mergeCells count="10">
    <mergeCell ref="C18:J18"/>
    <mergeCell ref="C19:J19"/>
    <mergeCell ref="B21:B27"/>
    <mergeCell ref="C29:J29"/>
    <mergeCell ref="A1:C3"/>
    <mergeCell ref="C4:J4"/>
    <mergeCell ref="C5:J5"/>
    <mergeCell ref="C6:J6"/>
    <mergeCell ref="B8:B14"/>
    <mergeCell ref="C17:J17"/>
  </mergeCells>
  <phoneticPr fontId="1" type="noConversion"/>
  <conditionalFormatting sqref="C8:H8">
    <cfRule type="duplicateValues" dxfId="29" priority="7"/>
  </conditionalFormatting>
  <conditionalFormatting sqref="C21:H21">
    <cfRule type="duplicateValues" dxfId="28" priority="8"/>
  </conditionalFormatting>
  <hyperlinks>
    <hyperlink ref="A4" location="List!A1" display="LIST" xr:uid="{00000000-0004-0000-0E00-000000000000}"/>
  </hyperlink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封裝程式殼層物件" shapeId="59397" r:id="rId4">
          <objectPr defaultSize="0" r:id="rId5">
            <anchor moveWithCells="1">
              <from>
                <xdr:col>2</xdr:col>
                <xdr:colOff>571500</xdr:colOff>
                <xdr:row>28</xdr:row>
                <xdr:rowOff>144780</xdr:rowOff>
              </from>
              <to>
                <xdr:col>3</xdr:col>
                <xdr:colOff>800100</xdr:colOff>
                <xdr:row>28</xdr:row>
                <xdr:rowOff>662940</xdr:rowOff>
              </to>
            </anchor>
          </objectPr>
        </oleObject>
      </mc:Choice>
      <mc:Fallback>
        <oleObject progId="封裝程式殼層物件" shapeId="59397" r:id="rId4"/>
      </mc:Fallback>
    </mc:AlternateContent>
    <mc:AlternateContent xmlns:mc="http://schemas.openxmlformats.org/markup-compatibility/2006">
      <mc:Choice Requires="x14">
        <oleObject progId="封裝程式殼層物件" shapeId="59399" r:id="rId6">
          <objectPr defaultSize="0" r:id="rId7">
            <anchor moveWithCells="1">
              <from>
                <xdr:col>3</xdr:col>
                <xdr:colOff>944880</xdr:colOff>
                <xdr:row>28</xdr:row>
                <xdr:rowOff>137160</xdr:rowOff>
              </from>
              <to>
                <xdr:col>6</xdr:col>
                <xdr:colOff>91440</xdr:colOff>
                <xdr:row>28</xdr:row>
                <xdr:rowOff>655320</xdr:rowOff>
              </to>
            </anchor>
          </objectPr>
        </oleObject>
      </mc:Choice>
      <mc:Fallback>
        <oleObject progId="封裝程式殼層物件" shapeId="59399" r:id="rId6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9"/>
  <sheetViews>
    <sheetView showGridLines="0" zoomScale="85" zoomScaleNormal="85" workbookViewId="0">
      <selection activeCell="F34" sqref="F34"/>
    </sheetView>
  </sheetViews>
  <sheetFormatPr defaultColWidth="9" defaultRowHeight="16.2"/>
  <cols>
    <col min="1" max="1" width="9" style="3"/>
    <col min="2" max="2" width="18.77734375" style="3" customWidth="1"/>
    <col min="3" max="3" width="18.6640625" style="3" customWidth="1"/>
    <col min="4" max="4" width="15" style="3" customWidth="1"/>
    <col min="5" max="5" width="17.88671875" style="3" customWidth="1"/>
    <col min="6" max="7" width="16.88671875" style="3" customWidth="1"/>
    <col min="8" max="8" width="13" style="3" customWidth="1"/>
    <col min="9" max="9" width="31.33203125" style="3" customWidth="1"/>
    <col min="10" max="10" width="77.33203125" style="3" customWidth="1"/>
    <col min="11" max="16384" width="9" style="3"/>
  </cols>
  <sheetData>
    <row r="1" spans="1:10">
      <c r="A1" s="250"/>
      <c r="B1" s="250"/>
      <c r="C1" s="250"/>
    </row>
    <row r="2" spans="1:10">
      <c r="A2" s="250"/>
      <c r="B2" s="250"/>
      <c r="C2" s="250"/>
    </row>
    <row r="3" spans="1:10" ht="16.8" thickBot="1">
      <c r="A3" s="250"/>
      <c r="B3" s="250"/>
      <c r="C3" s="250"/>
    </row>
    <row r="4" spans="1:10">
      <c r="A4" s="90" t="s">
        <v>0</v>
      </c>
      <c r="B4" s="86" t="s">
        <v>42</v>
      </c>
      <c r="C4" s="251" t="s">
        <v>304</v>
      </c>
      <c r="D4" s="251"/>
      <c r="E4" s="251"/>
      <c r="F4" s="251"/>
      <c r="G4" s="251"/>
      <c r="H4" s="251"/>
      <c r="I4" s="251"/>
      <c r="J4" s="252"/>
    </row>
    <row r="5" spans="1:10">
      <c r="B5" s="87" t="s">
        <v>83</v>
      </c>
      <c r="C5" s="240" t="s">
        <v>302</v>
      </c>
      <c r="D5" s="240"/>
      <c r="E5" s="240"/>
      <c r="F5" s="240"/>
      <c r="G5" s="240"/>
      <c r="H5" s="240"/>
      <c r="I5" s="240"/>
      <c r="J5" s="241"/>
    </row>
    <row r="6" spans="1:10" ht="16.5" customHeight="1" thickBot="1">
      <c r="A6" s="4"/>
      <c r="B6" s="88" t="s">
        <v>5</v>
      </c>
      <c r="C6" s="242" t="s">
        <v>431</v>
      </c>
      <c r="D6" s="242"/>
      <c r="E6" s="242"/>
      <c r="F6" s="242"/>
      <c r="G6" s="242"/>
      <c r="H6" s="242"/>
      <c r="I6" s="242"/>
      <c r="J6" s="243"/>
    </row>
    <row r="7" spans="1:10" ht="6.6" customHeight="1" thickBot="1">
      <c r="A7" s="4"/>
      <c r="C7" s="84"/>
      <c r="D7" s="84"/>
      <c r="E7" s="84"/>
      <c r="F7" s="84"/>
      <c r="G7" s="84"/>
      <c r="H7" s="84"/>
      <c r="I7" s="84"/>
      <c r="J7" s="84"/>
    </row>
    <row r="8" spans="1:10" ht="16.5" customHeight="1">
      <c r="A8" s="4"/>
      <c r="B8" s="244" t="s">
        <v>102</v>
      </c>
      <c r="C8" s="91" t="s">
        <v>106</v>
      </c>
      <c r="D8" s="91" t="s">
        <v>103</v>
      </c>
      <c r="E8" s="91" t="s">
        <v>107</v>
      </c>
      <c r="F8" s="91" t="s">
        <v>104</v>
      </c>
      <c r="G8" s="91" t="s">
        <v>108</v>
      </c>
      <c r="H8" s="91" t="s">
        <v>105</v>
      </c>
      <c r="I8" s="91" t="s">
        <v>24</v>
      </c>
      <c r="J8" s="96" t="s">
        <v>2</v>
      </c>
    </row>
    <row r="9" spans="1:10">
      <c r="A9" s="4"/>
      <c r="B9" s="245"/>
      <c r="C9" s="28" t="s">
        <v>41</v>
      </c>
      <c r="D9" s="28" t="s">
        <v>72</v>
      </c>
      <c r="E9" s="28"/>
      <c r="F9" s="28"/>
      <c r="G9" s="28"/>
      <c r="H9" s="28"/>
      <c r="I9" s="28" t="s">
        <v>75</v>
      </c>
      <c r="J9" s="27" t="s">
        <v>27</v>
      </c>
    </row>
    <row r="10" spans="1:10">
      <c r="A10" s="4"/>
      <c r="B10" s="245"/>
      <c r="C10" s="28" t="s">
        <v>114</v>
      </c>
      <c r="D10" s="28" t="s">
        <v>72</v>
      </c>
      <c r="E10" s="28"/>
      <c r="F10" s="28"/>
      <c r="G10" s="28"/>
      <c r="H10" s="28"/>
      <c r="I10" s="28" t="s">
        <v>76</v>
      </c>
      <c r="J10" s="27" t="s">
        <v>28</v>
      </c>
    </row>
    <row r="11" spans="1:10">
      <c r="A11" s="4"/>
      <c r="B11" s="245"/>
      <c r="C11" s="31" t="s">
        <v>116</v>
      </c>
      <c r="D11" s="28" t="s">
        <v>72</v>
      </c>
      <c r="E11" s="28"/>
      <c r="F11" s="28"/>
      <c r="G11" s="28"/>
      <c r="H11" s="28"/>
      <c r="I11" s="28" t="s">
        <v>281</v>
      </c>
      <c r="J11" s="27" t="s">
        <v>260</v>
      </c>
    </row>
    <row r="12" spans="1:10">
      <c r="A12" s="4"/>
      <c r="B12" s="245"/>
      <c r="C12" s="99" t="s">
        <v>127</v>
      </c>
      <c r="D12" s="28" t="s">
        <v>72</v>
      </c>
      <c r="E12" s="99"/>
      <c r="F12" s="98"/>
      <c r="G12" s="99"/>
      <c r="H12" s="28"/>
      <c r="I12" s="28" t="s">
        <v>232</v>
      </c>
      <c r="J12" s="27" t="s">
        <v>223</v>
      </c>
    </row>
    <row r="13" spans="1:10">
      <c r="A13" s="4"/>
      <c r="B13" s="245"/>
      <c r="C13" s="28"/>
      <c r="D13" s="28"/>
      <c r="E13" s="28"/>
      <c r="F13" s="28"/>
      <c r="G13" s="28"/>
      <c r="H13" s="28"/>
      <c r="I13" s="28"/>
      <c r="J13" s="27"/>
    </row>
    <row r="14" spans="1:10" ht="16.8" thickBot="1">
      <c r="A14" s="4"/>
      <c r="B14" s="246"/>
      <c r="C14" s="30"/>
      <c r="D14" s="30"/>
      <c r="E14" s="30"/>
      <c r="F14" s="30"/>
      <c r="G14" s="30"/>
      <c r="H14" s="30"/>
      <c r="I14" s="30"/>
      <c r="J14" s="29"/>
    </row>
    <row r="15" spans="1:10">
      <c r="A15" s="84"/>
      <c r="B15" s="85"/>
      <c r="C15" s="83"/>
      <c r="D15" s="83"/>
      <c r="E15" s="83"/>
      <c r="F15" s="83"/>
      <c r="G15" s="83"/>
      <c r="H15" s="83"/>
      <c r="I15" s="83"/>
      <c r="J15" s="83"/>
    </row>
    <row r="16" spans="1:10" ht="16.8" thickBot="1">
      <c r="A16" s="84"/>
      <c r="B16" s="85"/>
      <c r="C16" s="83"/>
      <c r="D16" s="83"/>
      <c r="E16" s="83"/>
      <c r="F16" s="83"/>
      <c r="G16" s="83"/>
      <c r="H16" s="83"/>
      <c r="I16" s="83"/>
      <c r="J16" s="83"/>
    </row>
    <row r="17" spans="1:10" ht="16.2" customHeight="1">
      <c r="A17" s="84"/>
      <c r="B17" s="86" t="s">
        <v>42</v>
      </c>
      <c r="C17" s="251" t="s">
        <v>305</v>
      </c>
      <c r="D17" s="251"/>
      <c r="E17" s="251"/>
      <c r="F17" s="251"/>
      <c r="G17" s="251"/>
      <c r="H17" s="251"/>
      <c r="I17" s="251"/>
      <c r="J17" s="252"/>
    </row>
    <row r="18" spans="1:10">
      <c r="A18" s="84"/>
      <c r="B18" s="87" t="s">
        <v>83</v>
      </c>
      <c r="C18" s="240" t="s">
        <v>303</v>
      </c>
      <c r="D18" s="240"/>
      <c r="E18" s="240"/>
      <c r="F18" s="240"/>
      <c r="G18" s="240"/>
      <c r="H18" s="240"/>
      <c r="I18" s="240"/>
      <c r="J18" s="241"/>
    </row>
    <row r="19" spans="1:10" ht="16.8" thickBot="1">
      <c r="A19" s="4"/>
      <c r="B19" s="88" t="s">
        <v>5</v>
      </c>
      <c r="C19" s="242" t="s">
        <v>379</v>
      </c>
      <c r="D19" s="242"/>
      <c r="E19" s="242"/>
      <c r="F19" s="242"/>
      <c r="G19" s="242"/>
      <c r="H19" s="242"/>
      <c r="I19" s="242"/>
      <c r="J19" s="243"/>
    </row>
    <row r="20" spans="1:10" ht="10.199999999999999" customHeight="1" thickBot="1">
      <c r="A20" s="4"/>
      <c r="C20" s="84"/>
      <c r="D20" s="84"/>
      <c r="E20" s="84"/>
      <c r="F20" s="84"/>
      <c r="G20" s="84"/>
      <c r="H20" s="84"/>
      <c r="I20" s="84"/>
      <c r="J20" s="84"/>
    </row>
    <row r="21" spans="1:10">
      <c r="B21" s="244" t="s">
        <v>102</v>
      </c>
      <c r="C21" s="91" t="s">
        <v>106</v>
      </c>
      <c r="D21" s="91" t="s">
        <v>103</v>
      </c>
      <c r="E21" s="91" t="s">
        <v>107</v>
      </c>
      <c r="F21" s="91" t="s">
        <v>104</v>
      </c>
      <c r="G21" s="91" t="s">
        <v>108</v>
      </c>
      <c r="H21" s="91" t="s">
        <v>105</v>
      </c>
      <c r="I21" s="91" t="s">
        <v>24</v>
      </c>
      <c r="J21" s="96" t="s">
        <v>2</v>
      </c>
    </row>
    <row r="22" spans="1:10">
      <c r="B22" s="245"/>
      <c r="C22" s="28" t="s">
        <v>41</v>
      </c>
      <c r="D22" s="28" t="s">
        <v>72</v>
      </c>
      <c r="E22" s="28"/>
      <c r="F22" s="28"/>
      <c r="G22" s="28"/>
      <c r="H22" s="28"/>
      <c r="I22" s="28" t="s">
        <v>75</v>
      </c>
      <c r="J22" s="27" t="s">
        <v>27</v>
      </c>
    </row>
    <row r="23" spans="1:10">
      <c r="B23" s="245"/>
      <c r="C23" s="28" t="s">
        <v>114</v>
      </c>
      <c r="D23" s="28" t="s">
        <v>72</v>
      </c>
      <c r="E23" s="28"/>
      <c r="F23" s="28"/>
      <c r="G23" s="28"/>
      <c r="H23" s="28"/>
      <c r="I23" s="28" t="s">
        <v>76</v>
      </c>
      <c r="J23" s="27" t="s">
        <v>28</v>
      </c>
    </row>
    <row r="24" spans="1:10">
      <c r="B24" s="245"/>
      <c r="C24" s="31" t="s">
        <v>116</v>
      </c>
      <c r="D24" s="28" t="s">
        <v>72</v>
      </c>
      <c r="E24" s="28"/>
      <c r="F24" s="28"/>
      <c r="G24" s="28"/>
      <c r="H24" s="28"/>
      <c r="I24" s="28" t="s">
        <v>281</v>
      </c>
      <c r="J24" s="33" t="s">
        <v>260</v>
      </c>
    </row>
    <row r="25" spans="1:10">
      <c r="A25" s="4"/>
      <c r="B25" s="253"/>
      <c r="C25" s="99" t="s">
        <v>127</v>
      </c>
      <c r="D25" s="28" t="s">
        <v>72</v>
      </c>
      <c r="E25" s="99"/>
      <c r="F25" s="98"/>
      <c r="G25" s="99"/>
      <c r="H25" s="28"/>
      <c r="I25" s="28" t="s">
        <v>232</v>
      </c>
      <c r="J25" s="27" t="s">
        <v>223</v>
      </c>
    </row>
    <row r="26" spans="1:10">
      <c r="A26" s="4"/>
      <c r="B26" s="253"/>
      <c r="C26" s="107"/>
      <c r="D26" s="104"/>
      <c r="E26" s="107"/>
      <c r="F26" s="105"/>
      <c r="G26" s="107"/>
      <c r="H26" s="104"/>
      <c r="I26" s="104"/>
      <c r="J26" s="106"/>
    </row>
    <row r="27" spans="1:10" ht="16.8" thickBot="1">
      <c r="B27" s="246"/>
      <c r="C27" s="30"/>
      <c r="D27" s="30"/>
      <c r="E27" s="30"/>
      <c r="F27" s="30"/>
      <c r="G27" s="30"/>
      <c r="H27" s="30"/>
      <c r="I27" s="30"/>
      <c r="J27" s="29"/>
    </row>
    <row r="28" spans="1:10">
      <c r="B28" s="85"/>
      <c r="C28" s="83"/>
      <c r="D28" s="83"/>
      <c r="E28" s="83"/>
      <c r="F28" s="83"/>
      <c r="G28" s="83"/>
      <c r="H28" s="83"/>
      <c r="I28" s="83"/>
      <c r="J28" s="83"/>
    </row>
    <row r="29" spans="1:10" ht="65.400000000000006" customHeight="1">
      <c r="B29" s="89" t="s">
        <v>74</v>
      </c>
      <c r="C29" s="247"/>
      <c r="D29" s="248"/>
      <c r="E29" s="248"/>
      <c r="F29" s="248"/>
      <c r="G29" s="248"/>
      <c r="H29" s="248"/>
      <c r="I29" s="248"/>
      <c r="J29" s="249"/>
    </row>
  </sheetData>
  <mergeCells count="10">
    <mergeCell ref="C18:J18"/>
    <mergeCell ref="C19:J19"/>
    <mergeCell ref="B21:B27"/>
    <mergeCell ref="C29:J29"/>
    <mergeCell ref="A1:C3"/>
    <mergeCell ref="C4:J4"/>
    <mergeCell ref="C5:J5"/>
    <mergeCell ref="C6:J6"/>
    <mergeCell ref="B8:B14"/>
    <mergeCell ref="C17:J17"/>
  </mergeCells>
  <phoneticPr fontId="1" type="noConversion"/>
  <conditionalFormatting sqref="C8:H8">
    <cfRule type="duplicateValues" dxfId="27" priority="2"/>
  </conditionalFormatting>
  <conditionalFormatting sqref="C21:H21">
    <cfRule type="duplicateValues" dxfId="26" priority="1"/>
  </conditionalFormatting>
  <hyperlinks>
    <hyperlink ref="A4" location="List!A1" display="LIST" xr:uid="{00000000-0004-0000-0F00-000000000000}"/>
  </hyperlink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封裝程式殼層物件" shapeId="60421" r:id="rId4">
          <objectPr defaultSize="0" r:id="rId5">
            <anchor moveWithCells="1">
              <from>
                <xdr:col>2</xdr:col>
                <xdr:colOff>434340</xdr:colOff>
                <xdr:row>28</xdr:row>
                <xdr:rowOff>182880</xdr:rowOff>
              </from>
              <to>
                <xdr:col>3</xdr:col>
                <xdr:colOff>510540</xdr:colOff>
                <xdr:row>28</xdr:row>
                <xdr:rowOff>693420</xdr:rowOff>
              </to>
            </anchor>
          </objectPr>
        </oleObject>
      </mc:Choice>
      <mc:Fallback>
        <oleObject progId="封裝程式殼層物件" shapeId="60421" r:id="rId4"/>
      </mc:Fallback>
    </mc:AlternateContent>
    <mc:AlternateContent xmlns:mc="http://schemas.openxmlformats.org/markup-compatibility/2006">
      <mc:Choice Requires="x14">
        <oleObject progId="封裝程式殼層物件" shapeId="60422" r:id="rId6">
          <objectPr defaultSize="0" r:id="rId7">
            <anchor moveWithCells="1">
              <from>
                <xdr:col>3</xdr:col>
                <xdr:colOff>708660</xdr:colOff>
                <xdr:row>28</xdr:row>
                <xdr:rowOff>167640</xdr:rowOff>
              </from>
              <to>
                <xdr:col>5</xdr:col>
                <xdr:colOff>167640</xdr:colOff>
                <xdr:row>28</xdr:row>
                <xdr:rowOff>685800</xdr:rowOff>
              </to>
            </anchor>
          </objectPr>
        </oleObject>
      </mc:Choice>
      <mc:Fallback>
        <oleObject progId="封裝程式殼層物件" shapeId="60422" r:id="rId6"/>
      </mc:Fallback>
    </mc:AlternateContent>
  </oleObjec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8"/>
  <sheetViews>
    <sheetView showGridLines="0" zoomScale="85" zoomScaleNormal="85" workbookViewId="0">
      <selection activeCell="E35" sqref="E35"/>
    </sheetView>
  </sheetViews>
  <sheetFormatPr defaultColWidth="9" defaultRowHeight="16.2"/>
  <cols>
    <col min="1" max="1" width="9" style="3"/>
    <col min="2" max="2" width="18.77734375" style="3" customWidth="1"/>
    <col min="3" max="3" width="18.6640625" style="3" customWidth="1"/>
    <col min="4" max="4" width="13.44140625" style="3" bestFit="1" customWidth="1"/>
    <col min="5" max="5" width="10.33203125" style="3" bestFit="1" customWidth="1"/>
    <col min="6" max="6" width="9" style="3" bestFit="1" customWidth="1"/>
    <col min="7" max="7" width="16.88671875" style="3" customWidth="1"/>
    <col min="8" max="8" width="15.88671875" style="3" customWidth="1"/>
    <col min="9" max="9" width="59" style="3" customWidth="1"/>
    <col min="10" max="10" width="46" style="3" customWidth="1"/>
    <col min="11" max="16384" width="9" style="3"/>
  </cols>
  <sheetData>
    <row r="1" spans="1:10">
      <c r="A1" s="250"/>
      <c r="B1" s="250"/>
      <c r="C1" s="250"/>
    </row>
    <row r="2" spans="1:10">
      <c r="A2" s="250"/>
      <c r="B2" s="250"/>
      <c r="C2" s="250"/>
    </row>
    <row r="3" spans="1:10" ht="16.8" thickBot="1">
      <c r="A3" s="250"/>
      <c r="B3" s="250"/>
      <c r="C3" s="250"/>
    </row>
    <row r="4" spans="1:10">
      <c r="A4" s="90" t="s">
        <v>0</v>
      </c>
      <c r="B4" s="86" t="s">
        <v>42</v>
      </c>
      <c r="C4" s="251" t="s">
        <v>306</v>
      </c>
      <c r="D4" s="251"/>
      <c r="E4" s="251"/>
      <c r="F4" s="251"/>
      <c r="G4" s="251"/>
      <c r="H4" s="251"/>
      <c r="I4" s="251"/>
      <c r="J4" s="252"/>
    </row>
    <row r="5" spans="1:10">
      <c r="B5" s="87" t="s">
        <v>83</v>
      </c>
      <c r="C5" s="240" t="s">
        <v>259</v>
      </c>
      <c r="D5" s="240"/>
      <c r="E5" s="240"/>
      <c r="F5" s="240"/>
      <c r="G5" s="240"/>
      <c r="H5" s="240"/>
      <c r="I5" s="240"/>
      <c r="J5" s="241"/>
    </row>
    <row r="6" spans="1:10" ht="16.5" customHeight="1" thickBot="1">
      <c r="A6" s="4"/>
      <c r="B6" s="88" t="s">
        <v>5</v>
      </c>
      <c r="C6" s="242" t="s">
        <v>380</v>
      </c>
      <c r="D6" s="242"/>
      <c r="E6" s="242"/>
      <c r="F6" s="242"/>
      <c r="G6" s="242"/>
      <c r="H6" s="242"/>
      <c r="I6" s="242"/>
      <c r="J6" s="243"/>
    </row>
    <row r="7" spans="1:10" ht="6.6" customHeight="1" thickBot="1">
      <c r="A7" s="4"/>
      <c r="C7" s="84"/>
      <c r="D7" s="84"/>
      <c r="E7" s="84"/>
      <c r="F7" s="84"/>
      <c r="G7" s="84"/>
      <c r="H7" s="84"/>
      <c r="I7" s="84"/>
      <c r="J7" s="84"/>
    </row>
    <row r="8" spans="1:10" ht="16.5" customHeight="1">
      <c r="A8" s="4"/>
      <c r="B8" s="244" t="s">
        <v>102</v>
      </c>
      <c r="C8" s="91" t="s">
        <v>106</v>
      </c>
      <c r="D8" s="91" t="s">
        <v>103</v>
      </c>
      <c r="E8" s="91" t="s">
        <v>107</v>
      </c>
      <c r="F8" s="91" t="s">
        <v>104</v>
      </c>
      <c r="G8" s="91" t="s">
        <v>108</v>
      </c>
      <c r="H8" s="91" t="s">
        <v>105</v>
      </c>
      <c r="I8" s="91" t="s">
        <v>24</v>
      </c>
      <c r="J8" s="96" t="s">
        <v>2</v>
      </c>
    </row>
    <row r="9" spans="1:10">
      <c r="A9" s="4"/>
      <c r="B9" s="245"/>
      <c r="C9" s="28" t="s">
        <v>41</v>
      </c>
      <c r="D9" s="28" t="s">
        <v>72</v>
      </c>
      <c r="E9" s="28"/>
      <c r="F9" s="28"/>
      <c r="G9" s="28"/>
      <c r="H9" s="28"/>
      <c r="I9" s="28" t="s">
        <v>75</v>
      </c>
      <c r="J9" s="27" t="s">
        <v>27</v>
      </c>
    </row>
    <row r="10" spans="1:10">
      <c r="A10" s="4"/>
      <c r="B10" s="245"/>
      <c r="C10" s="28" t="s">
        <v>114</v>
      </c>
      <c r="D10" s="28" t="s">
        <v>72</v>
      </c>
      <c r="E10" s="28"/>
      <c r="F10" s="28"/>
      <c r="G10" s="28"/>
      <c r="H10" s="28"/>
      <c r="I10" s="28" t="s">
        <v>76</v>
      </c>
      <c r="J10" s="27" t="s">
        <v>28</v>
      </c>
    </row>
    <row r="11" spans="1:10">
      <c r="A11" s="4"/>
      <c r="B11" s="245"/>
      <c r="C11" s="31" t="s">
        <v>116</v>
      </c>
      <c r="D11" s="28" t="s">
        <v>72</v>
      </c>
      <c r="E11" s="28"/>
      <c r="F11" s="28"/>
      <c r="G11" s="28"/>
      <c r="H11" s="28"/>
      <c r="I11" s="28" t="s">
        <v>281</v>
      </c>
      <c r="J11" s="27" t="s">
        <v>260</v>
      </c>
    </row>
    <row r="12" spans="1:10">
      <c r="A12" s="4"/>
      <c r="B12" s="245"/>
      <c r="C12" s="99" t="s">
        <v>127</v>
      </c>
      <c r="D12" s="28" t="s">
        <v>72</v>
      </c>
      <c r="E12" s="99"/>
      <c r="F12" s="98"/>
      <c r="G12" s="99"/>
      <c r="H12" s="28"/>
      <c r="I12" s="28" t="s">
        <v>232</v>
      </c>
      <c r="J12" s="27" t="s">
        <v>223</v>
      </c>
    </row>
    <row r="13" spans="1:10">
      <c r="A13" s="4"/>
      <c r="B13" s="245"/>
      <c r="C13" s="28" t="s">
        <v>225</v>
      </c>
      <c r="D13" s="28" t="s">
        <v>72</v>
      </c>
      <c r="E13" s="28"/>
      <c r="F13" s="28"/>
      <c r="G13" s="28"/>
      <c r="H13" s="27"/>
      <c r="I13" s="28" t="s">
        <v>226</v>
      </c>
      <c r="J13" s="27" t="s">
        <v>227</v>
      </c>
    </row>
    <row r="14" spans="1:10" ht="16.8" thickBot="1">
      <c r="A14" s="4"/>
      <c r="B14" s="246"/>
      <c r="C14" s="30"/>
      <c r="D14" s="30"/>
      <c r="E14" s="30"/>
      <c r="F14" s="30"/>
      <c r="G14" s="30"/>
      <c r="H14" s="30"/>
      <c r="I14" s="30"/>
      <c r="J14" s="29"/>
    </row>
    <row r="15" spans="1:10">
      <c r="A15" s="84"/>
      <c r="B15" s="85"/>
      <c r="C15" s="83"/>
      <c r="D15" s="83"/>
      <c r="E15" s="83"/>
      <c r="F15" s="83"/>
      <c r="G15" s="83"/>
      <c r="H15" s="83"/>
      <c r="I15" s="83"/>
      <c r="J15" s="83"/>
    </row>
    <row r="16" spans="1:10" ht="16.8" thickBot="1">
      <c r="A16" s="84"/>
      <c r="B16" s="85"/>
      <c r="C16" s="83"/>
      <c r="D16" s="83"/>
      <c r="E16" s="83"/>
      <c r="F16" s="83"/>
      <c r="G16" s="83"/>
      <c r="H16" s="83"/>
      <c r="I16" s="83"/>
      <c r="J16" s="83"/>
    </row>
    <row r="17" spans="1:10" ht="16.2" customHeight="1">
      <c r="A17" s="84"/>
      <c r="B17" s="86" t="s">
        <v>42</v>
      </c>
      <c r="C17" s="251" t="s">
        <v>307</v>
      </c>
      <c r="D17" s="251"/>
      <c r="E17" s="251"/>
      <c r="F17" s="251"/>
      <c r="G17" s="251"/>
      <c r="H17" s="251"/>
      <c r="I17" s="251"/>
      <c r="J17" s="252"/>
    </row>
    <row r="18" spans="1:10">
      <c r="A18" s="84"/>
      <c r="B18" s="87" t="s">
        <v>83</v>
      </c>
      <c r="C18" s="240" t="s">
        <v>261</v>
      </c>
      <c r="D18" s="240"/>
      <c r="E18" s="240"/>
      <c r="F18" s="240"/>
      <c r="G18" s="240"/>
      <c r="H18" s="240"/>
      <c r="I18" s="240"/>
      <c r="J18" s="241"/>
    </row>
    <row r="19" spans="1:10" ht="16.8" thickBot="1">
      <c r="A19" s="4"/>
      <c r="B19" s="88" t="s">
        <v>5</v>
      </c>
      <c r="C19" s="242" t="s">
        <v>381</v>
      </c>
      <c r="D19" s="242"/>
      <c r="E19" s="242"/>
      <c r="F19" s="242"/>
      <c r="G19" s="242"/>
      <c r="H19" s="242"/>
      <c r="I19" s="242"/>
      <c r="J19" s="243"/>
    </row>
    <row r="20" spans="1:10" ht="10.199999999999999" customHeight="1" thickBot="1">
      <c r="A20" s="4"/>
      <c r="C20" s="84"/>
      <c r="D20" s="84"/>
      <c r="E20" s="84"/>
      <c r="F20" s="84"/>
      <c r="G20" s="84"/>
      <c r="H20" s="84"/>
      <c r="I20" s="84"/>
      <c r="J20" s="84"/>
    </row>
    <row r="21" spans="1:10">
      <c r="B21" s="244" t="s">
        <v>102</v>
      </c>
      <c r="C21" s="91" t="s">
        <v>106</v>
      </c>
      <c r="D21" s="91" t="s">
        <v>103</v>
      </c>
      <c r="E21" s="91" t="s">
        <v>107</v>
      </c>
      <c r="F21" s="91" t="s">
        <v>104</v>
      </c>
      <c r="G21" s="91" t="s">
        <v>108</v>
      </c>
      <c r="H21" s="91" t="s">
        <v>105</v>
      </c>
      <c r="I21" s="91" t="s">
        <v>24</v>
      </c>
      <c r="J21" s="96" t="s">
        <v>2</v>
      </c>
    </row>
    <row r="22" spans="1:10">
      <c r="B22" s="245"/>
      <c r="C22" s="28" t="s">
        <v>41</v>
      </c>
      <c r="D22" s="28" t="s">
        <v>72</v>
      </c>
      <c r="E22" s="28"/>
      <c r="F22" s="28"/>
      <c r="G22" s="28"/>
      <c r="H22" s="28"/>
      <c r="I22" s="28" t="s">
        <v>75</v>
      </c>
      <c r="J22" s="27" t="s">
        <v>27</v>
      </c>
    </row>
    <row r="23" spans="1:10">
      <c r="B23" s="245"/>
      <c r="C23" s="28" t="s">
        <v>114</v>
      </c>
      <c r="D23" s="28" t="s">
        <v>72</v>
      </c>
      <c r="E23" s="28"/>
      <c r="F23" s="28"/>
      <c r="G23" s="28"/>
      <c r="H23" s="28"/>
      <c r="I23" s="28" t="s">
        <v>76</v>
      </c>
      <c r="J23" s="27" t="s">
        <v>28</v>
      </c>
    </row>
    <row r="24" spans="1:10">
      <c r="B24" s="245"/>
      <c r="C24" s="31" t="s">
        <v>116</v>
      </c>
      <c r="D24" s="28" t="s">
        <v>72</v>
      </c>
      <c r="E24" s="28"/>
      <c r="F24" s="28"/>
      <c r="G24" s="28"/>
      <c r="H24" s="28"/>
      <c r="I24" s="28" t="s">
        <v>281</v>
      </c>
      <c r="J24" s="33" t="s">
        <v>260</v>
      </c>
    </row>
    <row r="25" spans="1:10">
      <c r="B25" s="253"/>
      <c r="C25" s="99" t="s">
        <v>127</v>
      </c>
      <c r="D25" s="28" t="s">
        <v>72</v>
      </c>
      <c r="E25" s="99"/>
      <c r="F25" s="98"/>
      <c r="G25" s="99"/>
      <c r="H25" s="28"/>
      <c r="I25" s="28" t="s">
        <v>232</v>
      </c>
      <c r="J25" s="27" t="s">
        <v>223</v>
      </c>
    </row>
    <row r="26" spans="1:10" ht="16.8" thickBot="1">
      <c r="B26" s="246"/>
      <c r="C26" s="30"/>
      <c r="D26" s="30"/>
      <c r="E26" s="30"/>
      <c r="F26" s="30"/>
      <c r="G26" s="30"/>
      <c r="H26" s="30"/>
      <c r="I26" s="30"/>
      <c r="J26" s="29"/>
    </row>
    <row r="27" spans="1:10">
      <c r="B27" s="85"/>
      <c r="C27" s="83"/>
      <c r="D27" s="83"/>
      <c r="E27" s="83"/>
      <c r="F27" s="83"/>
      <c r="G27" s="83"/>
      <c r="H27" s="83"/>
      <c r="I27" s="83"/>
      <c r="J27" s="83"/>
    </row>
    <row r="28" spans="1:10" ht="65.400000000000006" customHeight="1">
      <c r="B28" s="89" t="s">
        <v>74</v>
      </c>
      <c r="C28" s="247"/>
      <c r="D28" s="248"/>
      <c r="E28" s="248"/>
      <c r="F28" s="248"/>
      <c r="G28" s="248"/>
      <c r="H28" s="248"/>
      <c r="I28" s="248"/>
      <c r="J28" s="249"/>
    </row>
  </sheetData>
  <mergeCells count="10">
    <mergeCell ref="C18:J18"/>
    <mergeCell ref="C19:J19"/>
    <mergeCell ref="B21:B26"/>
    <mergeCell ref="C28:J28"/>
    <mergeCell ref="A1:C3"/>
    <mergeCell ref="C4:J4"/>
    <mergeCell ref="C5:J5"/>
    <mergeCell ref="C6:J6"/>
    <mergeCell ref="B8:B14"/>
    <mergeCell ref="C17:J17"/>
  </mergeCells>
  <phoneticPr fontId="1" type="noConversion"/>
  <conditionalFormatting sqref="C8:H8">
    <cfRule type="duplicateValues" dxfId="25" priority="2"/>
  </conditionalFormatting>
  <conditionalFormatting sqref="C21:H21">
    <cfRule type="duplicateValues" dxfId="24" priority="1"/>
  </conditionalFormatting>
  <hyperlinks>
    <hyperlink ref="A4" location="List!A1" display="LIST" xr:uid="{00000000-0004-0000-1000-000000000000}"/>
  </hyperlink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封裝程式殼層物件" shapeId="61445" r:id="rId4">
          <objectPr defaultSize="0" r:id="rId5">
            <anchor moveWithCells="1">
              <from>
                <xdr:col>2</xdr:col>
                <xdr:colOff>411480</xdr:colOff>
                <xdr:row>27</xdr:row>
                <xdr:rowOff>160020</xdr:rowOff>
              </from>
              <to>
                <xdr:col>4</xdr:col>
                <xdr:colOff>144780</xdr:colOff>
                <xdr:row>27</xdr:row>
                <xdr:rowOff>670560</xdr:rowOff>
              </to>
            </anchor>
          </objectPr>
        </oleObject>
      </mc:Choice>
      <mc:Fallback>
        <oleObject progId="封裝程式殼層物件" shapeId="61445" r:id="rId4"/>
      </mc:Fallback>
    </mc:AlternateContent>
    <mc:AlternateContent xmlns:mc="http://schemas.openxmlformats.org/markup-compatibility/2006">
      <mc:Choice Requires="x14">
        <oleObject progId="封裝程式殼層物件" shapeId="61446" r:id="rId6">
          <objectPr defaultSize="0" autoPict="0" r:id="rId7">
            <anchor moveWithCells="1">
              <from>
                <xdr:col>4</xdr:col>
                <xdr:colOff>289560</xdr:colOff>
                <xdr:row>27</xdr:row>
                <xdr:rowOff>160020</xdr:rowOff>
              </from>
              <to>
                <xdr:col>7</xdr:col>
                <xdr:colOff>373380</xdr:colOff>
                <xdr:row>27</xdr:row>
                <xdr:rowOff>670560</xdr:rowOff>
              </to>
            </anchor>
          </objectPr>
        </oleObject>
      </mc:Choice>
      <mc:Fallback>
        <oleObject progId="封裝程式殼層物件" shapeId="61446" r:id="rId6"/>
      </mc:Fallback>
    </mc:AlternateContent>
  </oleObjec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1"/>
  <sheetViews>
    <sheetView showGridLines="0" topLeftCell="A13" zoomScale="85" zoomScaleNormal="85" workbookViewId="0">
      <selection activeCell="G34" sqref="G34"/>
    </sheetView>
  </sheetViews>
  <sheetFormatPr defaultColWidth="9" defaultRowHeight="16.2"/>
  <cols>
    <col min="1" max="1" width="9" style="3"/>
    <col min="2" max="2" width="18.77734375" style="3" customWidth="1"/>
    <col min="3" max="3" width="18.6640625" style="3" customWidth="1"/>
    <col min="4" max="4" width="13.44140625" style="3" bestFit="1" customWidth="1"/>
    <col min="5" max="5" width="10.33203125" style="3" bestFit="1" customWidth="1"/>
    <col min="6" max="6" width="9" style="3" bestFit="1" customWidth="1"/>
    <col min="7" max="7" width="16.88671875" style="3" customWidth="1"/>
    <col min="8" max="8" width="14.6640625" style="3" customWidth="1"/>
    <col min="9" max="9" width="31.33203125" style="3" customWidth="1"/>
    <col min="10" max="10" width="77.33203125" style="3" customWidth="1"/>
    <col min="11" max="16384" width="9" style="3"/>
  </cols>
  <sheetData>
    <row r="1" spans="1:10">
      <c r="A1" s="250"/>
      <c r="B1" s="250"/>
      <c r="C1" s="250"/>
    </row>
    <row r="2" spans="1:10">
      <c r="A2" s="250"/>
      <c r="B2" s="250"/>
      <c r="C2" s="250"/>
    </row>
    <row r="3" spans="1:10" ht="16.8" thickBot="1">
      <c r="A3" s="250"/>
      <c r="B3" s="250"/>
      <c r="C3" s="250"/>
    </row>
    <row r="4" spans="1:10">
      <c r="A4" s="90" t="s">
        <v>0</v>
      </c>
      <c r="B4" s="86" t="s">
        <v>42</v>
      </c>
      <c r="C4" s="251" t="s">
        <v>310</v>
      </c>
      <c r="D4" s="251"/>
      <c r="E4" s="251"/>
      <c r="F4" s="251"/>
      <c r="G4" s="251"/>
      <c r="H4" s="251"/>
      <c r="I4" s="251"/>
      <c r="J4" s="252"/>
    </row>
    <row r="5" spans="1:10">
      <c r="B5" s="87" t="s">
        <v>83</v>
      </c>
      <c r="C5" s="240" t="s">
        <v>384</v>
      </c>
      <c r="D5" s="240"/>
      <c r="E5" s="240"/>
      <c r="F5" s="240"/>
      <c r="G5" s="240"/>
      <c r="H5" s="240"/>
      <c r="I5" s="240"/>
      <c r="J5" s="241"/>
    </row>
    <row r="6" spans="1:10" ht="16.5" customHeight="1" thickBot="1">
      <c r="A6" s="4"/>
      <c r="B6" s="88" t="s">
        <v>5</v>
      </c>
      <c r="C6" s="242" t="s">
        <v>388</v>
      </c>
      <c r="D6" s="242"/>
      <c r="E6" s="242"/>
      <c r="F6" s="242"/>
      <c r="G6" s="242"/>
      <c r="H6" s="242"/>
      <c r="I6" s="242"/>
      <c r="J6" s="243"/>
    </row>
    <row r="7" spans="1:10" ht="6.6" customHeight="1" thickBot="1">
      <c r="A7" s="4"/>
      <c r="C7" s="84"/>
      <c r="D7" s="84"/>
      <c r="E7" s="84"/>
      <c r="F7" s="84"/>
      <c r="G7" s="84"/>
      <c r="H7" s="84"/>
      <c r="I7" s="84"/>
      <c r="J7" s="84"/>
    </row>
    <row r="8" spans="1:10" ht="16.5" customHeight="1">
      <c r="A8" s="4"/>
      <c r="B8" s="244" t="s">
        <v>102</v>
      </c>
      <c r="C8" s="91" t="s">
        <v>106</v>
      </c>
      <c r="D8" s="91" t="s">
        <v>103</v>
      </c>
      <c r="E8" s="91" t="s">
        <v>107</v>
      </c>
      <c r="F8" s="91" t="s">
        <v>104</v>
      </c>
      <c r="G8" s="91" t="s">
        <v>108</v>
      </c>
      <c r="H8" s="91" t="s">
        <v>105</v>
      </c>
      <c r="I8" s="91" t="s">
        <v>24</v>
      </c>
      <c r="J8" s="96" t="s">
        <v>2</v>
      </c>
    </row>
    <row r="9" spans="1:10">
      <c r="A9" s="4"/>
      <c r="B9" s="245"/>
      <c r="C9" s="28" t="s">
        <v>41</v>
      </c>
      <c r="D9" s="28" t="s">
        <v>72</v>
      </c>
      <c r="E9" s="28"/>
      <c r="F9" s="28"/>
      <c r="G9" s="28"/>
      <c r="H9" s="28"/>
      <c r="I9" s="28" t="s">
        <v>75</v>
      </c>
      <c r="J9" s="27" t="s">
        <v>27</v>
      </c>
    </row>
    <row r="10" spans="1:10">
      <c r="A10" s="4"/>
      <c r="B10" s="245"/>
      <c r="C10" s="28" t="s">
        <v>114</v>
      </c>
      <c r="D10" s="28" t="s">
        <v>72</v>
      </c>
      <c r="E10" s="28"/>
      <c r="F10" s="28"/>
      <c r="G10" s="28"/>
      <c r="H10" s="28"/>
      <c r="I10" s="28" t="s">
        <v>76</v>
      </c>
      <c r="J10" s="27" t="s">
        <v>28</v>
      </c>
    </row>
    <row r="11" spans="1:10">
      <c r="A11" s="4"/>
      <c r="B11" s="245"/>
      <c r="C11" s="31" t="s">
        <v>116</v>
      </c>
      <c r="D11" s="28" t="s">
        <v>72</v>
      </c>
      <c r="E11" s="28"/>
      <c r="F11" s="28"/>
      <c r="G11" s="28"/>
      <c r="H11" s="28"/>
      <c r="I11" s="28" t="s">
        <v>281</v>
      </c>
      <c r="J11" s="27" t="s">
        <v>260</v>
      </c>
    </row>
    <row r="12" spans="1:10">
      <c r="B12" s="245"/>
      <c r="C12" s="99" t="s">
        <v>127</v>
      </c>
      <c r="D12" s="28" t="s">
        <v>72</v>
      </c>
      <c r="E12" s="28"/>
      <c r="F12" s="28"/>
      <c r="G12" s="28"/>
      <c r="H12" s="28"/>
      <c r="I12" s="28" t="s">
        <v>232</v>
      </c>
      <c r="J12" s="27" t="s">
        <v>387</v>
      </c>
    </row>
    <row r="13" spans="1:10" ht="140.4">
      <c r="A13" s="4"/>
      <c r="B13" s="245"/>
      <c r="C13" s="116" t="s">
        <v>128</v>
      </c>
      <c r="D13" s="95" t="s">
        <v>137</v>
      </c>
      <c r="E13" s="95"/>
      <c r="F13" s="95"/>
      <c r="G13" s="95"/>
      <c r="H13" s="95"/>
      <c r="I13" s="116" t="s">
        <v>94</v>
      </c>
      <c r="J13" s="33" t="s">
        <v>393</v>
      </c>
    </row>
    <row r="14" spans="1:10">
      <c r="B14" s="245"/>
      <c r="C14" s="102" t="s">
        <v>134</v>
      </c>
      <c r="D14" s="98" t="s">
        <v>72</v>
      </c>
      <c r="E14" s="98"/>
      <c r="F14" s="98"/>
      <c r="G14" s="28"/>
      <c r="H14" s="28"/>
      <c r="I14" s="28" t="s">
        <v>437</v>
      </c>
      <c r="J14" s="97" t="s">
        <v>99</v>
      </c>
    </row>
    <row r="15" spans="1:10">
      <c r="A15" s="4"/>
      <c r="B15" s="245"/>
      <c r="C15" s="99" t="s">
        <v>389</v>
      </c>
      <c r="D15" s="28" t="s">
        <v>72</v>
      </c>
      <c r="E15" s="28"/>
      <c r="F15" s="28"/>
      <c r="G15" s="28"/>
      <c r="H15" s="28"/>
      <c r="I15" s="28" t="s">
        <v>436</v>
      </c>
      <c r="J15" s="27" t="s">
        <v>390</v>
      </c>
    </row>
    <row r="16" spans="1:10" ht="16.8" thickBot="1">
      <c r="A16" s="4"/>
      <c r="B16" s="246"/>
      <c r="C16" s="30"/>
      <c r="D16" s="30"/>
      <c r="E16" s="30"/>
      <c r="F16" s="30"/>
      <c r="G16" s="30"/>
      <c r="H16" s="30"/>
      <c r="I16" s="30"/>
      <c r="J16" s="29"/>
    </row>
    <row r="17" spans="1:10">
      <c r="A17" s="84"/>
      <c r="B17" s="85"/>
      <c r="C17" s="83"/>
      <c r="D17" s="83"/>
      <c r="E17" s="83"/>
      <c r="F17" s="83"/>
      <c r="G17" s="83"/>
      <c r="H17" s="83"/>
      <c r="I17" s="83"/>
      <c r="J17" s="83"/>
    </row>
    <row r="18" spans="1:10" ht="16.8" thickBot="1">
      <c r="A18" s="84"/>
      <c r="B18" s="85"/>
      <c r="C18" s="83"/>
      <c r="D18" s="83"/>
      <c r="E18" s="83"/>
      <c r="F18" s="83"/>
      <c r="G18" s="83"/>
      <c r="H18" s="83"/>
      <c r="I18" s="83"/>
      <c r="J18" s="83"/>
    </row>
    <row r="19" spans="1:10" ht="16.2" customHeight="1">
      <c r="A19" s="84"/>
      <c r="B19" s="86" t="s">
        <v>42</v>
      </c>
      <c r="C19" s="251" t="s">
        <v>311</v>
      </c>
      <c r="D19" s="251"/>
      <c r="E19" s="251"/>
      <c r="F19" s="251"/>
      <c r="G19" s="251"/>
      <c r="H19" s="251"/>
      <c r="I19" s="251"/>
      <c r="J19" s="252"/>
    </row>
    <row r="20" spans="1:10">
      <c r="A20" s="84"/>
      <c r="B20" s="87" t="s">
        <v>83</v>
      </c>
      <c r="C20" s="240" t="s">
        <v>385</v>
      </c>
      <c r="D20" s="240"/>
      <c r="E20" s="240"/>
      <c r="F20" s="240"/>
      <c r="G20" s="240"/>
      <c r="H20" s="240"/>
      <c r="I20" s="240"/>
      <c r="J20" s="241"/>
    </row>
    <row r="21" spans="1:10" ht="16.8" thickBot="1">
      <c r="A21" s="4"/>
      <c r="B21" s="88" t="s">
        <v>5</v>
      </c>
      <c r="C21" s="242" t="s">
        <v>386</v>
      </c>
      <c r="D21" s="242"/>
      <c r="E21" s="242"/>
      <c r="F21" s="242"/>
      <c r="G21" s="242"/>
      <c r="H21" s="242"/>
      <c r="I21" s="242"/>
      <c r="J21" s="243"/>
    </row>
    <row r="22" spans="1:10" ht="10.199999999999999" customHeight="1" thickBot="1">
      <c r="A22" s="4"/>
      <c r="C22" s="84"/>
      <c r="D22" s="84"/>
      <c r="E22" s="84"/>
      <c r="F22" s="84"/>
      <c r="G22" s="84"/>
      <c r="H22" s="84"/>
      <c r="I22" s="84"/>
      <c r="J22" s="84"/>
    </row>
    <row r="23" spans="1:10">
      <c r="B23" s="244" t="s">
        <v>102</v>
      </c>
      <c r="C23" s="91" t="s">
        <v>106</v>
      </c>
      <c r="D23" s="91" t="s">
        <v>103</v>
      </c>
      <c r="E23" s="91" t="s">
        <v>107</v>
      </c>
      <c r="F23" s="91" t="s">
        <v>104</v>
      </c>
      <c r="G23" s="91" t="s">
        <v>108</v>
      </c>
      <c r="H23" s="91" t="s">
        <v>105</v>
      </c>
      <c r="I23" s="91" t="s">
        <v>24</v>
      </c>
      <c r="J23" s="96" t="s">
        <v>2</v>
      </c>
    </row>
    <row r="24" spans="1:10">
      <c r="B24" s="245"/>
      <c r="C24" s="28" t="s">
        <v>41</v>
      </c>
      <c r="D24" s="28" t="s">
        <v>72</v>
      </c>
      <c r="E24" s="28"/>
      <c r="F24" s="28"/>
      <c r="G24" s="28"/>
      <c r="H24" s="28"/>
      <c r="I24" s="28" t="s">
        <v>75</v>
      </c>
      <c r="J24" s="27" t="s">
        <v>27</v>
      </c>
    </row>
    <row r="25" spans="1:10">
      <c r="B25" s="245"/>
      <c r="C25" s="28" t="s">
        <v>114</v>
      </c>
      <c r="D25" s="28" t="s">
        <v>72</v>
      </c>
      <c r="E25" s="28"/>
      <c r="F25" s="28"/>
      <c r="G25" s="28"/>
      <c r="H25" s="28"/>
      <c r="I25" s="28" t="s">
        <v>76</v>
      </c>
      <c r="J25" s="27" t="s">
        <v>28</v>
      </c>
    </row>
    <row r="26" spans="1:10">
      <c r="B26" s="245"/>
      <c r="C26" s="31" t="s">
        <v>116</v>
      </c>
      <c r="D26" s="28" t="s">
        <v>72</v>
      </c>
      <c r="E26" s="28"/>
      <c r="F26" s="28"/>
      <c r="G26" s="28"/>
      <c r="H26" s="28"/>
      <c r="I26" s="28" t="s">
        <v>281</v>
      </c>
      <c r="J26" s="33" t="s">
        <v>260</v>
      </c>
    </row>
    <row r="27" spans="1:10">
      <c r="B27" s="253"/>
      <c r="C27" s="99" t="s">
        <v>127</v>
      </c>
      <c r="D27" s="28" t="s">
        <v>72</v>
      </c>
      <c r="E27" s="28"/>
      <c r="F27" s="28"/>
      <c r="G27" s="28"/>
      <c r="H27" s="28"/>
      <c r="I27" s="28" t="s">
        <v>232</v>
      </c>
      <c r="J27" s="27" t="s">
        <v>387</v>
      </c>
    </row>
    <row r="28" spans="1:10" ht="140.4">
      <c r="A28" s="4"/>
      <c r="B28" s="253"/>
      <c r="C28" s="116" t="s">
        <v>128</v>
      </c>
      <c r="D28" s="95" t="s">
        <v>137</v>
      </c>
      <c r="E28" s="95"/>
      <c r="F28" s="95"/>
      <c r="G28" s="95"/>
      <c r="H28" s="95"/>
      <c r="I28" s="116" t="s">
        <v>94</v>
      </c>
      <c r="J28" s="33" t="s">
        <v>393</v>
      </c>
    </row>
    <row r="29" spans="1:10" ht="16.8" thickBot="1">
      <c r="B29" s="246"/>
      <c r="C29" s="30"/>
      <c r="D29" s="30"/>
      <c r="E29" s="30"/>
      <c r="F29" s="30"/>
      <c r="G29" s="30"/>
      <c r="H29" s="30"/>
      <c r="I29" s="30"/>
      <c r="J29" s="29"/>
    </row>
    <row r="30" spans="1:10">
      <c r="B30" s="85"/>
      <c r="C30" s="83"/>
      <c r="D30" s="83"/>
      <c r="E30" s="83"/>
      <c r="F30" s="83"/>
      <c r="G30" s="83"/>
      <c r="H30" s="83"/>
      <c r="I30" s="83"/>
      <c r="J30" s="83"/>
    </row>
    <row r="31" spans="1:10" ht="65.400000000000006" customHeight="1">
      <c r="B31" s="89" t="s">
        <v>74</v>
      </c>
      <c r="C31" s="247"/>
      <c r="D31" s="248"/>
      <c r="E31" s="248"/>
      <c r="F31" s="248"/>
      <c r="G31" s="248"/>
      <c r="H31" s="248"/>
      <c r="I31" s="248"/>
      <c r="J31" s="249"/>
    </row>
  </sheetData>
  <mergeCells count="10">
    <mergeCell ref="C20:J20"/>
    <mergeCell ref="C21:J21"/>
    <mergeCell ref="B23:B29"/>
    <mergeCell ref="C31:J31"/>
    <mergeCell ref="A1:C3"/>
    <mergeCell ref="C4:J4"/>
    <mergeCell ref="C5:J5"/>
    <mergeCell ref="C6:J6"/>
    <mergeCell ref="B8:B16"/>
    <mergeCell ref="C19:J19"/>
  </mergeCells>
  <phoneticPr fontId="1" type="noConversion"/>
  <conditionalFormatting sqref="C8:H8">
    <cfRule type="duplicateValues" dxfId="23" priority="2"/>
  </conditionalFormatting>
  <conditionalFormatting sqref="C23:H23">
    <cfRule type="duplicateValues" dxfId="22" priority="1"/>
  </conditionalFormatting>
  <hyperlinks>
    <hyperlink ref="A4" location="List!A1" display="LIST" xr:uid="{00000000-0004-0000-1100-000000000000}"/>
  </hyperlink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封裝程式殼層物件" shapeId="62469" r:id="rId4">
          <objectPr defaultSize="0" r:id="rId5">
            <anchor moveWithCells="1">
              <from>
                <xdr:col>2</xdr:col>
                <xdr:colOff>335280</xdr:colOff>
                <xdr:row>30</xdr:row>
                <xdr:rowOff>198120</xdr:rowOff>
              </from>
              <to>
                <xdr:col>3</xdr:col>
                <xdr:colOff>472440</xdr:colOff>
                <xdr:row>30</xdr:row>
                <xdr:rowOff>716280</xdr:rowOff>
              </to>
            </anchor>
          </objectPr>
        </oleObject>
      </mc:Choice>
      <mc:Fallback>
        <oleObject progId="封裝程式殼層物件" shapeId="62469" r:id="rId4"/>
      </mc:Fallback>
    </mc:AlternateContent>
    <mc:AlternateContent xmlns:mc="http://schemas.openxmlformats.org/markup-compatibility/2006">
      <mc:Choice Requires="x14">
        <oleObject progId="封裝程式殼層物件" shapeId="62470" r:id="rId6">
          <objectPr defaultSize="0" r:id="rId7">
            <anchor moveWithCells="1">
              <from>
                <xdr:col>3</xdr:col>
                <xdr:colOff>739140</xdr:colOff>
                <xdr:row>30</xdr:row>
                <xdr:rowOff>182880</xdr:rowOff>
              </from>
              <to>
                <xdr:col>6</xdr:col>
                <xdr:colOff>274320</xdr:colOff>
                <xdr:row>30</xdr:row>
                <xdr:rowOff>693420</xdr:rowOff>
              </to>
            </anchor>
          </objectPr>
        </oleObject>
      </mc:Choice>
      <mc:Fallback>
        <oleObject progId="封裝程式殼層物件" shapeId="62470" r:id="rId6"/>
      </mc:Fallback>
    </mc:AlternateContent>
  </oleObjec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2"/>
  <sheetViews>
    <sheetView showGridLines="0" topLeftCell="A10" zoomScale="85" zoomScaleNormal="85" workbookViewId="0">
      <selection activeCell="C32" sqref="C32:J32"/>
    </sheetView>
  </sheetViews>
  <sheetFormatPr defaultColWidth="9" defaultRowHeight="16.2"/>
  <cols>
    <col min="1" max="1" width="9" style="3"/>
    <col min="2" max="2" width="18.77734375" style="3" customWidth="1"/>
    <col min="3" max="3" width="18.6640625" style="3" customWidth="1"/>
    <col min="4" max="4" width="13.44140625" style="3" bestFit="1" customWidth="1"/>
    <col min="5" max="5" width="10.33203125" style="3" bestFit="1" customWidth="1"/>
    <col min="6" max="6" width="9" style="3" bestFit="1" customWidth="1"/>
    <col min="7" max="7" width="16.88671875" style="3" customWidth="1"/>
    <col min="8" max="8" width="14.21875" style="3" customWidth="1"/>
    <col min="9" max="9" width="31.33203125" style="3" customWidth="1"/>
    <col min="10" max="10" width="77.33203125" style="3" customWidth="1"/>
    <col min="11" max="16384" width="9" style="3"/>
  </cols>
  <sheetData>
    <row r="1" spans="1:10">
      <c r="A1" s="250"/>
      <c r="B1" s="250"/>
      <c r="C1" s="250"/>
    </row>
    <row r="2" spans="1:10">
      <c r="A2" s="250"/>
      <c r="B2" s="250"/>
      <c r="C2" s="250"/>
    </row>
    <row r="3" spans="1:10" ht="16.8" thickBot="1">
      <c r="A3" s="250"/>
      <c r="B3" s="250"/>
      <c r="C3" s="250"/>
    </row>
    <row r="4" spans="1:10">
      <c r="A4" s="90" t="s">
        <v>0</v>
      </c>
      <c r="B4" s="86" t="s">
        <v>42</v>
      </c>
      <c r="C4" s="251" t="s">
        <v>312</v>
      </c>
      <c r="D4" s="251"/>
      <c r="E4" s="251"/>
      <c r="F4" s="251"/>
      <c r="G4" s="251"/>
      <c r="H4" s="251"/>
      <c r="I4" s="251"/>
      <c r="J4" s="252"/>
    </row>
    <row r="5" spans="1:10" ht="16.2" customHeight="1">
      <c r="B5" s="87" t="s">
        <v>83</v>
      </c>
      <c r="C5" s="240" t="s">
        <v>384</v>
      </c>
      <c r="D5" s="240"/>
      <c r="E5" s="240"/>
      <c r="F5" s="240"/>
      <c r="G5" s="240"/>
      <c r="H5" s="240"/>
      <c r="I5" s="240"/>
      <c r="J5" s="241"/>
    </row>
    <row r="6" spans="1:10" ht="16.5" customHeight="1" thickBot="1">
      <c r="A6" s="4"/>
      <c r="B6" s="88" t="s">
        <v>5</v>
      </c>
      <c r="C6" s="242" t="s">
        <v>272</v>
      </c>
      <c r="D6" s="242"/>
      <c r="E6" s="242"/>
      <c r="F6" s="242"/>
      <c r="G6" s="242"/>
      <c r="H6" s="242"/>
      <c r="I6" s="242"/>
      <c r="J6" s="243"/>
    </row>
    <row r="7" spans="1:10" ht="6.6" customHeight="1" thickBot="1">
      <c r="A7" s="4"/>
      <c r="C7" s="84"/>
      <c r="D7" s="84"/>
      <c r="E7" s="84"/>
      <c r="F7" s="84"/>
      <c r="G7" s="84"/>
      <c r="H7" s="84"/>
      <c r="I7" s="84"/>
      <c r="J7" s="84"/>
    </row>
    <row r="8" spans="1:10" ht="16.5" customHeight="1">
      <c r="A8" s="4"/>
      <c r="B8" s="244" t="s">
        <v>102</v>
      </c>
      <c r="C8" s="91" t="s">
        <v>106</v>
      </c>
      <c r="D8" s="91" t="s">
        <v>103</v>
      </c>
      <c r="E8" s="91" t="s">
        <v>107</v>
      </c>
      <c r="F8" s="91" t="s">
        <v>104</v>
      </c>
      <c r="G8" s="91" t="s">
        <v>108</v>
      </c>
      <c r="H8" s="91" t="s">
        <v>105</v>
      </c>
      <c r="I8" s="91" t="s">
        <v>24</v>
      </c>
      <c r="J8" s="96" t="s">
        <v>2</v>
      </c>
    </row>
    <row r="9" spans="1:10">
      <c r="A9" s="4"/>
      <c r="B9" s="245"/>
      <c r="C9" s="28" t="s">
        <v>41</v>
      </c>
      <c r="D9" s="28" t="s">
        <v>72</v>
      </c>
      <c r="E9" s="28"/>
      <c r="F9" s="28"/>
      <c r="G9" s="28"/>
      <c r="H9" s="28"/>
      <c r="I9" s="28" t="s">
        <v>75</v>
      </c>
      <c r="J9" s="27" t="s">
        <v>27</v>
      </c>
    </row>
    <row r="10" spans="1:10">
      <c r="A10" s="4"/>
      <c r="B10" s="245"/>
      <c r="C10" s="28" t="s">
        <v>114</v>
      </c>
      <c r="D10" s="28" t="s">
        <v>72</v>
      </c>
      <c r="E10" s="28"/>
      <c r="F10" s="28"/>
      <c r="G10" s="28"/>
      <c r="H10" s="28"/>
      <c r="I10" s="28" t="s">
        <v>76</v>
      </c>
      <c r="J10" s="27" t="s">
        <v>28</v>
      </c>
    </row>
    <row r="11" spans="1:10">
      <c r="A11" s="4"/>
      <c r="B11" s="245"/>
      <c r="C11" s="31" t="s">
        <v>116</v>
      </c>
      <c r="D11" s="28" t="s">
        <v>72</v>
      </c>
      <c r="E11" s="28"/>
      <c r="F11" s="28"/>
      <c r="G11" s="28"/>
      <c r="H11" s="28"/>
      <c r="I11" s="28" t="s">
        <v>281</v>
      </c>
      <c r="J11" s="27" t="s">
        <v>260</v>
      </c>
    </row>
    <row r="12" spans="1:10">
      <c r="B12" s="245"/>
      <c r="C12" s="99" t="s">
        <v>127</v>
      </c>
      <c r="D12" s="28" t="s">
        <v>72</v>
      </c>
      <c r="E12" s="28"/>
      <c r="F12" s="28"/>
      <c r="G12" s="28"/>
      <c r="H12" s="28"/>
      <c r="I12" s="28" t="s">
        <v>232</v>
      </c>
      <c r="J12" s="27" t="s">
        <v>146</v>
      </c>
    </row>
    <row r="13" spans="1:10" ht="140.4">
      <c r="A13" s="4"/>
      <c r="B13" s="245"/>
      <c r="C13" s="116" t="s">
        <v>128</v>
      </c>
      <c r="D13" s="95" t="s">
        <v>137</v>
      </c>
      <c r="E13" s="95"/>
      <c r="F13" s="95"/>
      <c r="G13" s="95"/>
      <c r="H13" s="95"/>
      <c r="I13" s="116" t="s">
        <v>94</v>
      </c>
      <c r="J13" s="33" t="s">
        <v>393</v>
      </c>
    </row>
    <row r="14" spans="1:10">
      <c r="B14" s="245"/>
      <c r="C14" s="102" t="s">
        <v>134</v>
      </c>
      <c r="D14" s="98" t="s">
        <v>72</v>
      </c>
      <c r="E14" s="98"/>
      <c r="F14" s="98"/>
      <c r="G14" s="28"/>
      <c r="H14" s="28"/>
      <c r="I14" s="28" t="s">
        <v>161</v>
      </c>
      <c r="J14" s="97" t="s">
        <v>99</v>
      </c>
    </row>
    <row r="15" spans="1:10">
      <c r="A15" s="4"/>
      <c r="B15" s="245"/>
      <c r="C15" s="99" t="s">
        <v>389</v>
      </c>
      <c r="D15" s="28" t="s">
        <v>72</v>
      </c>
      <c r="E15" s="28"/>
      <c r="F15" s="28"/>
      <c r="G15" s="28"/>
      <c r="H15" s="28"/>
      <c r="I15" s="28" t="s">
        <v>232</v>
      </c>
      <c r="J15" s="27" t="s">
        <v>392</v>
      </c>
    </row>
    <row r="16" spans="1:10">
      <c r="A16" s="4"/>
      <c r="B16" s="245"/>
      <c r="C16" s="28"/>
      <c r="D16" s="28"/>
      <c r="E16" s="28"/>
      <c r="F16" s="28"/>
      <c r="G16" s="28"/>
      <c r="H16" s="28"/>
      <c r="I16" s="28"/>
      <c r="J16" s="27"/>
    </row>
    <row r="17" spans="1:10" ht="16.8" thickBot="1">
      <c r="A17" s="4"/>
      <c r="B17" s="246"/>
      <c r="C17" s="30"/>
      <c r="D17" s="30"/>
      <c r="E17" s="30"/>
      <c r="F17" s="30"/>
      <c r="G17" s="30"/>
      <c r="H17" s="30"/>
      <c r="I17" s="30"/>
      <c r="J17" s="29"/>
    </row>
    <row r="18" spans="1:10">
      <c r="A18" s="84"/>
      <c r="B18" s="85"/>
      <c r="C18" s="83"/>
      <c r="D18" s="83"/>
      <c r="E18" s="83"/>
      <c r="F18" s="83"/>
      <c r="G18" s="83"/>
      <c r="H18" s="83"/>
      <c r="I18" s="83"/>
      <c r="J18" s="83"/>
    </row>
    <row r="19" spans="1:10" ht="16.8" thickBot="1">
      <c r="A19" s="84"/>
      <c r="B19" s="85"/>
      <c r="C19" s="83"/>
      <c r="D19" s="83"/>
      <c r="E19" s="83"/>
      <c r="F19" s="83"/>
      <c r="G19" s="83"/>
      <c r="H19" s="83"/>
      <c r="I19" s="83"/>
      <c r="J19" s="83"/>
    </row>
    <row r="20" spans="1:10" ht="16.2" customHeight="1">
      <c r="A20" s="84"/>
      <c r="B20" s="86" t="s">
        <v>42</v>
      </c>
      <c r="C20" s="251" t="s">
        <v>313</v>
      </c>
      <c r="D20" s="251"/>
      <c r="E20" s="251"/>
      <c r="F20" s="251"/>
      <c r="G20" s="251"/>
      <c r="H20" s="251"/>
      <c r="I20" s="251"/>
      <c r="J20" s="252"/>
    </row>
    <row r="21" spans="1:10">
      <c r="A21" s="84"/>
      <c r="B21" s="87" t="s">
        <v>83</v>
      </c>
      <c r="C21" s="240" t="s">
        <v>385</v>
      </c>
      <c r="D21" s="240"/>
      <c r="E21" s="240"/>
      <c r="F21" s="240"/>
      <c r="G21" s="240"/>
      <c r="H21" s="240"/>
      <c r="I21" s="240"/>
      <c r="J21" s="241"/>
    </row>
    <row r="22" spans="1:10" ht="16.8" thickBot="1">
      <c r="A22" s="4"/>
      <c r="B22" s="88" t="s">
        <v>5</v>
      </c>
      <c r="C22" s="242" t="s">
        <v>391</v>
      </c>
      <c r="D22" s="242"/>
      <c r="E22" s="242"/>
      <c r="F22" s="242"/>
      <c r="G22" s="242"/>
      <c r="H22" s="242"/>
      <c r="I22" s="242"/>
      <c r="J22" s="243"/>
    </row>
    <row r="23" spans="1:10" ht="10.199999999999999" customHeight="1" thickBot="1">
      <c r="A23" s="4"/>
      <c r="C23" s="84"/>
      <c r="D23" s="84"/>
      <c r="E23" s="84"/>
      <c r="F23" s="84"/>
      <c r="G23" s="84"/>
      <c r="H23" s="84"/>
      <c r="I23" s="84"/>
      <c r="J23" s="84"/>
    </row>
    <row r="24" spans="1:10">
      <c r="B24" s="244" t="s">
        <v>102</v>
      </c>
      <c r="C24" s="91" t="s">
        <v>106</v>
      </c>
      <c r="D24" s="91" t="s">
        <v>103</v>
      </c>
      <c r="E24" s="91" t="s">
        <v>107</v>
      </c>
      <c r="F24" s="91" t="s">
        <v>104</v>
      </c>
      <c r="G24" s="91" t="s">
        <v>108</v>
      </c>
      <c r="H24" s="91" t="s">
        <v>105</v>
      </c>
      <c r="I24" s="91" t="s">
        <v>24</v>
      </c>
      <c r="J24" s="96" t="s">
        <v>2</v>
      </c>
    </row>
    <row r="25" spans="1:10">
      <c r="B25" s="245"/>
      <c r="C25" s="28" t="s">
        <v>41</v>
      </c>
      <c r="D25" s="28" t="s">
        <v>72</v>
      </c>
      <c r="E25" s="28"/>
      <c r="F25" s="28"/>
      <c r="G25" s="28"/>
      <c r="H25" s="28"/>
      <c r="I25" s="28" t="s">
        <v>75</v>
      </c>
      <c r="J25" s="27" t="s">
        <v>27</v>
      </c>
    </row>
    <row r="26" spans="1:10">
      <c r="B26" s="245"/>
      <c r="C26" s="28" t="s">
        <v>114</v>
      </c>
      <c r="D26" s="28" t="s">
        <v>72</v>
      </c>
      <c r="E26" s="28"/>
      <c r="F26" s="28"/>
      <c r="G26" s="28"/>
      <c r="H26" s="28"/>
      <c r="I26" s="28" t="s">
        <v>76</v>
      </c>
      <c r="J26" s="27" t="s">
        <v>28</v>
      </c>
    </row>
    <row r="27" spans="1:10">
      <c r="B27" s="245"/>
      <c r="C27" s="31" t="s">
        <v>116</v>
      </c>
      <c r="D27" s="28" t="s">
        <v>72</v>
      </c>
      <c r="E27" s="28"/>
      <c r="F27" s="28"/>
      <c r="G27" s="28"/>
      <c r="H27" s="28"/>
      <c r="I27" s="28" t="s">
        <v>281</v>
      </c>
      <c r="J27" s="33" t="s">
        <v>260</v>
      </c>
    </row>
    <row r="28" spans="1:10">
      <c r="B28" s="253"/>
      <c r="C28" s="99" t="s">
        <v>127</v>
      </c>
      <c r="D28" s="28" t="s">
        <v>72</v>
      </c>
      <c r="E28" s="28"/>
      <c r="F28" s="28"/>
      <c r="G28" s="28"/>
      <c r="H28" s="28"/>
      <c r="I28" s="28" t="s">
        <v>232</v>
      </c>
      <c r="J28" s="27" t="s">
        <v>146</v>
      </c>
    </row>
    <row r="29" spans="1:10" ht="140.4">
      <c r="A29" s="4"/>
      <c r="B29" s="253"/>
      <c r="C29" s="116" t="s">
        <v>128</v>
      </c>
      <c r="D29" s="95" t="s">
        <v>137</v>
      </c>
      <c r="E29" s="95"/>
      <c r="F29" s="95"/>
      <c r="G29" s="95"/>
      <c r="H29" s="95"/>
      <c r="I29" s="116" t="s">
        <v>94</v>
      </c>
      <c r="J29" s="33" t="s">
        <v>393</v>
      </c>
    </row>
    <row r="30" spans="1:10" ht="16.8" thickBot="1">
      <c r="B30" s="246"/>
      <c r="C30" s="30"/>
      <c r="D30" s="30"/>
      <c r="E30" s="30"/>
      <c r="F30" s="30"/>
      <c r="G30" s="30"/>
      <c r="H30" s="30"/>
      <c r="I30" s="30"/>
      <c r="J30" s="29"/>
    </row>
    <row r="31" spans="1:10">
      <c r="B31" s="85"/>
      <c r="C31" s="83"/>
      <c r="D31" s="83"/>
      <c r="E31" s="83"/>
      <c r="F31" s="83"/>
      <c r="G31" s="83"/>
      <c r="H31" s="83"/>
      <c r="I31" s="83"/>
      <c r="J31" s="83"/>
    </row>
    <row r="32" spans="1:10" ht="65.400000000000006" customHeight="1">
      <c r="B32" s="89" t="s">
        <v>74</v>
      </c>
      <c r="C32" s="247"/>
      <c r="D32" s="248"/>
      <c r="E32" s="248"/>
      <c r="F32" s="248"/>
      <c r="G32" s="248"/>
      <c r="H32" s="248"/>
      <c r="I32" s="248"/>
      <c r="J32" s="249"/>
    </row>
  </sheetData>
  <mergeCells count="10">
    <mergeCell ref="C21:J21"/>
    <mergeCell ref="C22:J22"/>
    <mergeCell ref="B24:B30"/>
    <mergeCell ref="C32:J32"/>
    <mergeCell ref="A1:C3"/>
    <mergeCell ref="C4:J4"/>
    <mergeCell ref="C5:J5"/>
    <mergeCell ref="C6:J6"/>
    <mergeCell ref="B8:B17"/>
    <mergeCell ref="C20:J20"/>
  </mergeCells>
  <phoneticPr fontId="1" type="noConversion"/>
  <conditionalFormatting sqref="C8:H8">
    <cfRule type="duplicateValues" dxfId="21" priority="2"/>
  </conditionalFormatting>
  <conditionalFormatting sqref="C24:H24">
    <cfRule type="duplicateValues" dxfId="20" priority="1"/>
  </conditionalFormatting>
  <hyperlinks>
    <hyperlink ref="A4" location="List!A1" display="LIST" xr:uid="{00000000-0004-0000-1200-000000000000}"/>
  </hyperlink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封裝程式殼層物件" shapeId="63493" r:id="rId4">
          <objectPr defaultSize="0" r:id="rId5">
            <anchor moveWithCells="1">
              <from>
                <xdr:col>2</xdr:col>
                <xdr:colOff>381000</xdr:colOff>
                <xdr:row>31</xdr:row>
                <xdr:rowOff>160020</xdr:rowOff>
              </from>
              <to>
                <xdr:col>3</xdr:col>
                <xdr:colOff>594360</xdr:colOff>
                <xdr:row>31</xdr:row>
                <xdr:rowOff>670560</xdr:rowOff>
              </to>
            </anchor>
          </objectPr>
        </oleObject>
      </mc:Choice>
      <mc:Fallback>
        <oleObject progId="封裝程式殼層物件" shapeId="63493" r:id="rId4"/>
      </mc:Fallback>
    </mc:AlternateContent>
    <mc:AlternateContent xmlns:mc="http://schemas.openxmlformats.org/markup-compatibility/2006">
      <mc:Choice Requires="x14">
        <oleObject progId="封裝程式殼層物件" shapeId="63494" r:id="rId6">
          <objectPr defaultSize="0" r:id="rId7">
            <anchor moveWithCells="1">
              <from>
                <xdr:col>3</xdr:col>
                <xdr:colOff>762000</xdr:colOff>
                <xdr:row>31</xdr:row>
                <xdr:rowOff>167640</xdr:rowOff>
              </from>
              <to>
                <xdr:col>6</xdr:col>
                <xdr:colOff>373380</xdr:colOff>
                <xdr:row>31</xdr:row>
                <xdr:rowOff>685800</xdr:rowOff>
              </to>
            </anchor>
          </objectPr>
        </oleObject>
      </mc:Choice>
      <mc:Fallback>
        <oleObject progId="封裝程式殼層物件" shapeId="63494" r:id="rId6"/>
      </mc:Fallback>
    </mc:AlternateContent>
  </oleObjec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5"/>
  <sheetViews>
    <sheetView showGridLines="0" zoomScale="90" zoomScaleNormal="90" workbookViewId="0">
      <selection activeCell="C32" sqref="C32:J32"/>
    </sheetView>
  </sheetViews>
  <sheetFormatPr defaultColWidth="9" defaultRowHeight="16.2"/>
  <cols>
    <col min="1" max="1" width="9" style="3"/>
    <col min="2" max="2" width="18.77734375" style="3" customWidth="1"/>
    <col min="3" max="3" width="15.6640625" style="3" bestFit="1" customWidth="1"/>
    <col min="4" max="4" width="14.21875" style="3" bestFit="1" customWidth="1"/>
    <col min="5" max="5" width="13.109375" style="3" bestFit="1" customWidth="1"/>
    <col min="6" max="6" width="14.21875" style="3" bestFit="1" customWidth="1"/>
    <col min="7" max="7" width="18.44140625" style="3" bestFit="1" customWidth="1"/>
    <col min="8" max="8" width="14.21875" style="3" bestFit="1" customWidth="1"/>
    <col min="9" max="9" width="30.109375" style="3" bestFit="1" customWidth="1"/>
    <col min="10" max="10" width="60.21875" style="3" customWidth="1"/>
    <col min="11" max="16384" width="9" style="3"/>
  </cols>
  <sheetData>
    <row r="1" spans="1:10">
      <c r="A1" s="250"/>
      <c r="B1" s="250"/>
      <c r="C1" s="250"/>
    </row>
    <row r="2" spans="1:10">
      <c r="A2" s="250"/>
      <c r="B2" s="250"/>
      <c r="C2" s="250"/>
    </row>
    <row r="3" spans="1:10" ht="16.8" thickBot="1">
      <c r="A3" s="250"/>
      <c r="B3" s="250"/>
      <c r="C3" s="250"/>
    </row>
    <row r="4" spans="1:10">
      <c r="A4" s="90" t="s">
        <v>0</v>
      </c>
      <c r="B4" s="86" t="s">
        <v>42</v>
      </c>
      <c r="C4" s="251" t="s">
        <v>316</v>
      </c>
      <c r="D4" s="251"/>
      <c r="E4" s="251"/>
      <c r="F4" s="251"/>
      <c r="G4" s="251"/>
      <c r="H4" s="251"/>
      <c r="I4" s="251"/>
      <c r="J4" s="252"/>
    </row>
    <row r="5" spans="1:10">
      <c r="B5" s="87" t="s">
        <v>83</v>
      </c>
      <c r="C5" s="240" t="s">
        <v>264</v>
      </c>
      <c r="D5" s="240"/>
      <c r="E5" s="240"/>
      <c r="F5" s="240"/>
      <c r="G5" s="240"/>
      <c r="H5" s="240"/>
      <c r="I5" s="240"/>
      <c r="J5" s="241"/>
    </row>
    <row r="6" spans="1:10" ht="16.5" customHeight="1" thickBot="1">
      <c r="A6" s="4"/>
      <c r="B6" s="88" t="s">
        <v>5</v>
      </c>
      <c r="C6" s="242" t="s">
        <v>396</v>
      </c>
      <c r="D6" s="242"/>
      <c r="E6" s="242"/>
      <c r="F6" s="242"/>
      <c r="G6" s="242"/>
      <c r="H6" s="242"/>
      <c r="I6" s="242"/>
      <c r="J6" s="243"/>
    </row>
    <row r="7" spans="1:10" ht="6.6" customHeight="1" thickBot="1">
      <c r="A7" s="4"/>
      <c r="C7" s="84"/>
      <c r="D7" s="84"/>
      <c r="E7" s="84"/>
      <c r="F7" s="84"/>
      <c r="G7" s="84"/>
      <c r="H7" s="84"/>
      <c r="I7" s="84"/>
      <c r="J7" s="84"/>
    </row>
    <row r="8" spans="1:10" ht="16.5" customHeight="1">
      <c r="A8" s="4"/>
      <c r="B8" s="244" t="s">
        <v>102</v>
      </c>
      <c r="C8" s="91" t="s">
        <v>106</v>
      </c>
      <c r="D8" s="91" t="s">
        <v>103</v>
      </c>
      <c r="E8" s="91" t="s">
        <v>107</v>
      </c>
      <c r="F8" s="91" t="s">
        <v>104</v>
      </c>
      <c r="G8" s="91" t="s">
        <v>108</v>
      </c>
      <c r="H8" s="91" t="s">
        <v>105</v>
      </c>
      <c r="I8" s="91" t="s">
        <v>24</v>
      </c>
      <c r="J8" s="96" t="s">
        <v>2</v>
      </c>
    </row>
    <row r="9" spans="1:10">
      <c r="A9" s="4"/>
      <c r="B9" s="245"/>
      <c r="C9" s="28" t="s">
        <v>41</v>
      </c>
      <c r="D9" s="28" t="s">
        <v>72</v>
      </c>
      <c r="E9" s="28"/>
      <c r="F9" s="28"/>
      <c r="G9" s="28"/>
      <c r="H9" s="28"/>
      <c r="I9" s="28" t="s">
        <v>75</v>
      </c>
      <c r="J9" s="27" t="s">
        <v>27</v>
      </c>
    </row>
    <row r="10" spans="1:10">
      <c r="A10" s="4"/>
      <c r="B10" s="245"/>
      <c r="C10" s="28" t="s">
        <v>114</v>
      </c>
      <c r="D10" s="28" t="s">
        <v>72</v>
      </c>
      <c r="E10" s="28"/>
      <c r="F10" s="28"/>
      <c r="G10" s="28"/>
      <c r="H10" s="28"/>
      <c r="I10" s="28" t="s">
        <v>76</v>
      </c>
      <c r="J10" s="27" t="s">
        <v>28</v>
      </c>
    </row>
    <row r="11" spans="1:10">
      <c r="A11" s="4"/>
      <c r="B11" s="245"/>
      <c r="C11" s="28" t="s">
        <v>116</v>
      </c>
      <c r="D11" s="28" t="s">
        <v>72</v>
      </c>
      <c r="E11" s="28"/>
      <c r="F11" s="28"/>
      <c r="G11" s="28"/>
      <c r="H11" s="28"/>
      <c r="I11" s="28" t="s">
        <v>281</v>
      </c>
      <c r="J11" s="27" t="s">
        <v>260</v>
      </c>
    </row>
    <row r="12" spans="1:10">
      <c r="B12" s="245"/>
      <c r="C12" s="99" t="s">
        <v>127</v>
      </c>
      <c r="D12" s="28" t="s">
        <v>72</v>
      </c>
      <c r="E12" s="28"/>
      <c r="F12" s="28"/>
      <c r="G12" s="28"/>
      <c r="H12" s="28"/>
      <c r="I12" s="28" t="s">
        <v>232</v>
      </c>
      <c r="J12" s="27" t="s">
        <v>148</v>
      </c>
    </row>
    <row r="13" spans="1:10">
      <c r="B13" s="245"/>
      <c r="C13" s="28" t="s">
        <v>235</v>
      </c>
      <c r="D13" s="28" t="s">
        <v>72</v>
      </c>
      <c r="E13" s="105"/>
      <c r="F13" s="105"/>
      <c r="G13" s="105"/>
      <c r="H13" s="105"/>
      <c r="I13" s="28" t="s">
        <v>221</v>
      </c>
      <c r="J13" s="27" t="s">
        <v>397</v>
      </c>
    </row>
    <row r="14" spans="1:10">
      <c r="B14" s="245"/>
      <c r="C14" s="104" t="s">
        <v>143</v>
      </c>
      <c r="D14" s="98" t="s">
        <v>72</v>
      </c>
      <c r="E14" s="28"/>
      <c r="F14" s="28"/>
      <c r="G14" s="28"/>
      <c r="H14" s="28"/>
      <c r="I14" s="104" t="s">
        <v>92</v>
      </c>
      <c r="J14" s="33" t="s">
        <v>395</v>
      </c>
    </row>
    <row r="15" spans="1:10" ht="16.8" thickBot="1">
      <c r="B15" s="246"/>
      <c r="C15" s="30"/>
      <c r="D15" s="30"/>
      <c r="E15" s="30"/>
      <c r="F15" s="30"/>
      <c r="G15" s="30"/>
      <c r="H15" s="30"/>
      <c r="I15" s="30"/>
      <c r="J15" s="29"/>
    </row>
    <row r="16" spans="1:10">
      <c r="B16" s="85"/>
      <c r="C16" s="83"/>
      <c r="D16" s="83"/>
      <c r="E16" s="83"/>
      <c r="F16" s="83"/>
      <c r="G16" s="83"/>
      <c r="H16" s="83"/>
      <c r="I16" s="83"/>
      <c r="J16" s="83"/>
    </row>
    <row r="17" spans="2:10" ht="16.8" thickBot="1"/>
    <row r="18" spans="2:10">
      <c r="B18" s="86" t="s">
        <v>42</v>
      </c>
      <c r="C18" s="251" t="s">
        <v>317</v>
      </c>
      <c r="D18" s="251"/>
      <c r="E18" s="251"/>
      <c r="F18" s="251"/>
      <c r="G18" s="251"/>
      <c r="H18" s="251"/>
      <c r="I18" s="251"/>
      <c r="J18" s="252"/>
    </row>
    <row r="19" spans="2:10">
      <c r="B19" s="87" t="s">
        <v>83</v>
      </c>
      <c r="C19" s="240" t="s">
        <v>263</v>
      </c>
      <c r="D19" s="240"/>
      <c r="E19" s="240"/>
      <c r="F19" s="240"/>
      <c r="G19" s="240"/>
      <c r="H19" s="240"/>
      <c r="I19" s="240"/>
      <c r="J19" s="241"/>
    </row>
    <row r="20" spans="2:10" ht="16.8" thickBot="1">
      <c r="B20" s="88" t="s">
        <v>5</v>
      </c>
      <c r="C20" s="242" t="s">
        <v>394</v>
      </c>
      <c r="D20" s="242"/>
      <c r="E20" s="242"/>
      <c r="F20" s="242"/>
      <c r="G20" s="242"/>
      <c r="H20" s="242"/>
      <c r="I20" s="242"/>
      <c r="J20" s="243"/>
    </row>
    <row r="21" spans="2:10" ht="16.8" thickBot="1">
      <c r="C21" s="84"/>
      <c r="D21" s="84"/>
      <c r="E21" s="84"/>
      <c r="F21" s="84"/>
      <c r="G21" s="84"/>
      <c r="H21" s="84"/>
      <c r="I21" s="84"/>
      <c r="J21" s="84"/>
    </row>
    <row r="22" spans="2:10">
      <c r="B22" s="244" t="s">
        <v>102</v>
      </c>
      <c r="C22" s="91" t="s">
        <v>106</v>
      </c>
      <c r="D22" s="91" t="s">
        <v>103</v>
      </c>
      <c r="E22" s="91" t="s">
        <v>107</v>
      </c>
      <c r="F22" s="91" t="s">
        <v>104</v>
      </c>
      <c r="G22" s="91" t="s">
        <v>108</v>
      </c>
      <c r="H22" s="91" t="s">
        <v>105</v>
      </c>
      <c r="I22" s="91" t="s">
        <v>24</v>
      </c>
      <c r="J22" s="96" t="s">
        <v>2</v>
      </c>
    </row>
    <row r="23" spans="2:10">
      <c r="B23" s="245"/>
      <c r="C23" s="28" t="s">
        <v>41</v>
      </c>
      <c r="D23" s="28" t="s">
        <v>72</v>
      </c>
      <c r="E23" s="28"/>
      <c r="F23" s="28"/>
      <c r="G23" s="28"/>
      <c r="H23" s="28"/>
      <c r="I23" s="28" t="s">
        <v>75</v>
      </c>
      <c r="J23" s="27" t="s">
        <v>27</v>
      </c>
    </row>
    <row r="24" spans="2:10">
      <c r="B24" s="245"/>
      <c r="C24" s="28" t="s">
        <v>114</v>
      </c>
      <c r="D24" s="28" t="s">
        <v>72</v>
      </c>
      <c r="E24" s="28"/>
      <c r="F24" s="28"/>
      <c r="G24" s="28"/>
      <c r="H24" s="28"/>
      <c r="I24" s="28" t="s">
        <v>76</v>
      </c>
      <c r="J24" s="27" t="s">
        <v>28</v>
      </c>
    </row>
    <row r="25" spans="2:10">
      <c r="B25" s="245"/>
      <c r="C25" s="31" t="s">
        <v>116</v>
      </c>
      <c r="D25" s="28" t="s">
        <v>72</v>
      </c>
      <c r="E25" s="28"/>
      <c r="F25" s="28"/>
      <c r="G25" s="28"/>
      <c r="H25" s="28"/>
      <c r="I25" s="28" t="s">
        <v>281</v>
      </c>
      <c r="J25" s="27" t="s">
        <v>260</v>
      </c>
    </row>
    <row r="26" spans="2:10">
      <c r="B26" s="245"/>
      <c r="C26" s="99" t="s">
        <v>127</v>
      </c>
      <c r="D26" s="28" t="s">
        <v>72</v>
      </c>
      <c r="E26" s="28"/>
      <c r="F26" s="28"/>
      <c r="G26" s="28"/>
      <c r="H26" s="28"/>
      <c r="I26" s="28" t="s">
        <v>232</v>
      </c>
      <c r="J26" s="27" t="s">
        <v>148</v>
      </c>
    </row>
    <row r="27" spans="2:10">
      <c r="B27" s="245"/>
      <c r="C27" s="28" t="s">
        <v>235</v>
      </c>
      <c r="D27" s="28" t="s">
        <v>72</v>
      </c>
      <c r="E27" s="105"/>
      <c r="F27" s="105"/>
      <c r="G27" s="105"/>
      <c r="H27" s="105"/>
      <c r="I27" s="28" t="s">
        <v>221</v>
      </c>
      <c r="J27" s="27" t="s">
        <v>397</v>
      </c>
    </row>
    <row r="28" spans="2:10">
      <c r="B28" s="245"/>
      <c r="C28" s="28" t="s">
        <v>143</v>
      </c>
      <c r="D28" s="98" t="s">
        <v>72</v>
      </c>
      <c r="E28" s="28"/>
      <c r="F28" s="28"/>
      <c r="G28" s="28"/>
      <c r="H28" s="28"/>
      <c r="I28" s="104" t="s">
        <v>92</v>
      </c>
      <c r="J28" s="33" t="s">
        <v>395</v>
      </c>
    </row>
    <row r="29" spans="2:10">
      <c r="B29" s="245"/>
      <c r="C29" s="28"/>
      <c r="D29" s="28"/>
      <c r="E29" s="28"/>
      <c r="F29" s="28"/>
      <c r="G29" s="28"/>
      <c r="H29" s="28"/>
      <c r="I29" s="28"/>
      <c r="J29" s="27"/>
    </row>
    <row r="30" spans="2:10" ht="16.8" thickBot="1">
      <c r="B30" s="246"/>
      <c r="C30" s="30"/>
      <c r="D30" s="30"/>
      <c r="E30" s="30"/>
      <c r="F30" s="30"/>
      <c r="G30" s="30"/>
      <c r="H30" s="30"/>
      <c r="I30" s="30"/>
      <c r="J30" s="29"/>
    </row>
    <row r="31" spans="2:10">
      <c r="B31" s="85"/>
      <c r="C31" s="83"/>
      <c r="D31" s="83"/>
      <c r="E31" s="83"/>
      <c r="F31" s="83"/>
      <c r="G31" s="83"/>
      <c r="H31" s="83"/>
      <c r="I31" s="83"/>
      <c r="J31" s="83"/>
    </row>
    <row r="32" spans="2:10" ht="76.2" customHeight="1">
      <c r="B32" s="89" t="s">
        <v>74</v>
      </c>
      <c r="C32" s="247"/>
      <c r="D32" s="248"/>
      <c r="E32" s="248"/>
      <c r="F32" s="248"/>
      <c r="G32" s="248"/>
      <c r="H32" s="248"/>
      <c r="I32" s="248"/>
      <c r="J32" s="249"/>
    </row>
    <row r="33" ht="76.2" customHeight="1"/>
    <row r="45" ht="65.400000000000006" customHeight="1"/>
  </sheetData>
  <mergeCells count="10">
    <mergeCell ref="C5:J5"/>
    <mergeCell ref="C6:J6"/>
    <mergeCell ref="B8:B15"/>
    <mergeCell ref="C32:J32"/>
    <mergeCell ref="A1:C3"/>
    <mergeCell ref="C18:J18"/>
    <mergeCell ref="C19:J19"/>
    <mergeCell ref="C20:J20"/>
    <mergeCell ref="B22:B30"/>
    <mergeCell ref="C4:J4"/>
  </mergeCells>
  <phoneticPr fontId="1" type="noConversion"/>
  <conditionalFormatting sqref="C22:H22">
    <cfRule type="duplicateValues" dxfId="19" priority="11"/>
  </conditionalFormatting>
  <conditionalFormatting sqref="C8:H8">
    <cfRule type="duplicateValues" dxfId="18" priority="12"/>
  </conditionalFormatting>
  <hyperlinks>
    <hyperlink ref="A4" location="List!A1" display="LIST" xr:uid="{00000000-0004-0000-1300-000000000000}"/>
  </hyperlink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封裝程式殼層物件" shapeId="64517" r:id="rId4">
          <objectPr defaultSize="0" r:id="rId5">
            <anchor moveWithCells="1">
              <from>
                <xdr:col>2</xdr:col>
                <xdr:colOff>434340</xdr:colOff>
                <xdr:row>31</xdr:row>
                <xdr:rowOff>266700</xdr:rowOff>
              </from>
              <to>
                <xdr:col>3</xdr:col>
                <xdr:colOff>586740</xdr:colOff>
                <xdr:row>31</xdr:row>
                <xdr:rowOff>777240</xdr:rowOff>
              </to>
            </anchor>
          </objectPr>
        </oleObject>
      </mc:Choice>
      <mc:Fallback>
        <oleObject progId="封裝程式殼層物件" shapeId="64517" r:id="rId4"/>
      </mc:Fallback>
    </mc:AlternateContent>
    <mc:AlternateContent xmlns:mc="http://schemas.openxmlformats.org/markup-compatibility/2006">
      <mc:Choice Requires="x14">
        <oleObject progId="封裝程式殼層物件" shapeId="64518" r:id="rId6">
          <objectPr defaultSize="0" r:id="rId7">
            <anchor moveWithCells="1">
              <from>
                <xdr:col>3</xdr:col>
                <xdr:colOff>708660</xdr:colOff>
                <xdr:row>31</xdr:row>
                <xdr:rowOff>274320</xdr:rowOff>
              </from>
              <to>
                <xdr:col>5</xdr:col>
                <xdr:colOff>441960</xdr:colOff>
                <xdr:row>31</xdr:row>
                <xdr:rowOff>792480</xdr:rowOff>
              </to>
            </anchor>
          </objectPr>
        </oleObject>
      </mc:Choice>
      <mc:Fallback>
        <oleObject progId="封裝程式殼層物件" shapeId="64518" r:id="rId6"/>
      </mc:Fallback>
    </mc:AlternateContent>
  </oleObjec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35"/>
  <sheetViews>
    <sheetView showGridLines="0" topLeftCell="A14" zoomScaleNormal="100" workbookViewId="0">
      <selection activeCell="C34" sqref="C34:J34"/>
    </sheetView>
  </sheetViews>
  <sheetFormatPr defaultColWidth="9" defaultRowHeight="16.2"/>
  <cols>
    <col min="1" max="1" width="9" style="3"/>
    <col min="2" max="2" width="18.77734375" style="3" customWidth="1"/>
    <col min="3" max="3" width="15.5546875" style="3" customWidth="1"/>
    <col min="4" max="4" width="14.21875" style="3" bestFit="1" customWidth="1"/>
    <col min="5" max="5" width="10.44140625" style="3" bestFit="1" customWidth="1"/>
    <col min="6" max="6" width="9.33203125" style="3" bestFit="1" customWidth="1"/>
    <col min="7" max="7" width="9.88671875" style="3" bestFit="1" customWidth="1"/>
    <col min="8" max="8" width="14.21875" style="3" bestFit="1" customWidth="1"/>
    <col min="9" max="9" width="30.109375" style="3" bestFit="1" customWidth="1"/>
    <col min="10" max="10" width="60.21875" style="3" customWidth="1"/>
    <col min="11" max="16384" width="9" style="3"/>
  </cols>
  <sheetData>
    <row r="1" spans="1:10">
      <c r="A1" s="250"/>
      <c r="B1" s="250"/>
      <c r="C1" s="250"/>
    </row>
    <row r="2" spans="1:10">
      <c r="A2" s="250"/>
      <c r="B2" s="250"/>
      <c r="C2" s="250"/>
    </row>
    <row r="3" spans="1:10" ht="16.8" thickBot="1">
      <c r="A3" s="250"/>
      <c r="B3" s="250"/>
      <c r="C3" s="250"/>
    </row>
    <row r="4" spans="1:10">
      <c r="A4" s="90" t="s">
        <v>0</v>
      </c>
      <c r="B4" s="86" t="s">
        <v>42</v>
      </c>
      <c r="C4" s="251" t="s">
        <v>318</v>
      </c>
      <c r="D4" s="251"/>
      <c r="E4" s="251"/>
      <c r="F4" s="251"/>
      <c r="G4" s="251"/>
      <c r="H4" s="251"/>
      <c r="I4" s="251"/>
      <c r="J4" s="252"/>
    </row>
    <row r="5" spans="1:10">
      <c r="B5" s="87" t="s">
        <v>83</v>
      </c>
      <c r="C5" s="240" t="s">
        <v>261</v>
      </c>
      <c r="D5" s="240"/>
      <c r="E5" s="240"/>
      <c r="F5" s="240"/>
      <c r="G5" s="240"/>
      <c r="H5" s="240"/>
      <c r="I5" s="240"/>
      <c r="J5" s="241"/>
    </row>
    <row r="6" spans="1:10" ht="16.5" customHeight="1" thickBot="1">
      <c r="A6" s="4"/>
      <c r="B6" s="88" t="s">
        <v>5</v>
      </c>
      <c r="C6" s="242" t="s">
        <v>274</v>
      </c>
      <c r="D6" s="242"/>
      <c r="E6" s="242"/>
      <c r="F6" s="242"/>
      <c r="G6" s="242"/>
      <c r="H6" s="242"/>
      <c r="I6" s="242"/>
      <c r="J6" s="243"/>
    </row>
    <row r="7" spans="1:10" ht="6.6" customHeight="1" thickBot="1">
      <c r="A7" s="4"/>
      <c r="C7" s="84"/>
      <c r="D7" s="84"/>
      <c r="E7" s="84"/>
      <c r="F7" s="84"/>
      <c r="G7" s="84"/>
      <c r="H7" s="84"/>
      <c r="I7" s="84"/>
      <c r="J7" s="84"/>
    </row>
    <row r="8" spans="1:10" ht="16.5" customHeight="1">
      <c r="A8" s="4"/>
      <c r="B8" s="244" t="s">
        <v>102</v>
      </c>
      <c r="C8" s="91" t="s">
        <v>106</v>
      </c>
      <c r="D8" s="91" t="s">
        <v>103</v>
      </c>
      <c r="E8" s="91" t="s">
        <v>107</v>
      </c>
      <c r="F8" s="91" t="s">
        <v>104</v>
      </c>
      <c r="G8" s="91" t="s">
        <v>108</v>
      </c>
      <c r="H8" s="91" t="s">
        <v>105</v>
      </c>
      <c r="I8" s="91" t="s">
        <v>24</v>
      </c>
      <c r="J8" s="96" t="s">
        <v>2</v>
      </c>
    </row>
    <row r="9" spans="1:10">
      <c r="A9" s="4"/>
      <c r="B9" s="245"/>
      <c r="C9" s="28" t="s">
        <v>41</v>
      </c>
      <c r="D9" s="28" t="s">
        <v>72</v>
      </c>
      <c r="E9" s="28"/>
      <c r="F9" s="28"/>
      <c r="G9" s="28"/>
      <c r="H9" s="28"/>
      <c r="I9" s="28" t="s">
        <v>75</v>
      </c>
      <c r="J9" s="27" t="s">
        <v>27</v>
      </c>
    </row>
    <row r="10" spans="1:10">
      <c r="A10" s="4"/>
      <c r="B10" s="245"/>
      <c r="C10" s="28" t="s">
        <v>114</v>
      </c>
      <c r="D10" s="28" t="s">
        <v>72</v>
      </c>
      <c r="E10" s="28"/>
      <c r="F10" s="28"/>
      <c r="G10" s="28"/>
      <c r="H10" s="28"/>
      <c r="I10" s="28" t="s">
        <v>76</v>
      </c>
      <c r="J10" s="27" t="s">
        <v>28</v>
      </c>
    </row>
    <row r="11" spans="1:10">
      <c r="A11" s="4"/>
      <c r="B11" s="245"/>
      <c r="C11" s="28" t="s">
        <v>116</v>
      </c>
      <c r="D11" s="28" t="s">
        <v>72</v>
      </c>
      <c r="E11" s="28"/>
      <c r="F11" s="28"/>
      <c r="G11" s="28"/>
      <c r="H11" s="28"/>
      <c r="I11" s="28" t="s">
        <v>281</v>
      </c>
      <c r="J11" s="27" t="s">
        <v>260</v>
      </c>
    </row>
    <row r="12" spans="1:10">
      <c r="B12" s="245"/>
      <c r="C12" s="99" t="s">
        <v>127</v>
      </c>
      <c r="D12" s="28" t="s">
        <v>72</v>
      </c>
      <c r="E12" s="28"/>
      <c r="F12" s="28"/>
      <c r="G12" s="28"/>
      <c r="H12" s="28"/>
      <c r="I12" s="28" t="s">
        <v>232</v>
      </c>
      <c r="J12" s="27" t="s">
        <v>406</v>
      </c>
    </row>
    <row r="13" spans="1:10" ht="156">
      <c r="A13" s="4"/>
      <c r="B13" s="245"/>
      <c r="C13" s="116" t="s">
        <v>128</v>
      </c>
      <c r="D13" s="95" t="s">
        <v>137</v>
      </c>
      <c r="E13" s="95"/>
      <c r="F13" s="95"/>
      <c r="G13" s="95"/>
      <c r="H13" s="95"/>
      <c r="I13" s="116" t="s">
        <v>94</v>
      </c>
      <c r="J13" s="33" t="s">
        <v>393</v>
      </c>
    </row>
    <row r="14" spans="1:10">
      <c r="B14" s="245"/>
      <c r="C14" s="102" t="s">
        <v>134</v>
      </c>
      <c r="D14" s="98" t="s">
        <v>72</v>
      </c>
      <c r="E14" s="98"/>
      <c r="F14" s="98"/>
      <c r="G14" s="28"/>
      <c r="H14" s="28"/>
      <c r="I14" s="28" t="s">
        <v>161</v>
      </c>
      <c r="J14" s="97" t="s">
        <v>99</v>
      </c>
    </row>
    <row r="15" spans="1:10">
      <c r="B15" s="245"/>
      <c r="C15" s="28"/>
      <c r="D15" s="28"/>
      <c r="E15" s="28"/>
      <c r="F15" s="28"/>
      <c r="G15" s="28"/>
      <c r="H15" s="28"/>
      <c r="I15" s="28"/>
      <c r="J15" s="27"/>
    </row>
    <row r="16" spans="1:10" ht="16.8" thickBot="1">
      <c r="B16" s="246"/>
      <c r="C16" s="30"/>
      <c r="D16" s="30"/>
      <c r="E16" s="30"/>
      <c r="F16" s="30"/>
      <c r="G16" s="30"/>
      <c r="H16" s="30"/>
      <c r="I16" s="30"/>
      <c r="J16" s="29"/>
    </row>
    <row r="17" spans="1:10">
      <c r="B17" s="85"/>
      <c r="C17" s="83"/>
      <c r="D17" s="83"/>
      <c r="E17" s="83"/>
      <c r="F17" s="83"/>
      <c r="G17" s="83"/>
      <c r="H17" s="83"/>
      <c r="I17" s="83"/>
      <c r="J17" s="83"/>
    </row>
    <row r="18" spans="1:10" ht="16.8" thickBot="1"/>
    <row r="19" spans="1:10">
      <c r="B19" s="86" t="s">
        <v>42</v>
      </c>
      <c r="C19" s="251" t="s">
        <v>319</v>
      </c>
      <c r="D19" s="251"/>
      <c r="E19" s="251"/>
      <c r="F19" s="251"/>
      <c r="G19" s="251"/>
      <c r="H19" s="251"/>
      <c r="I19" s="251"/>
      <c r="J19" s="252"/>
    </row>
    <row r="20" spans="1:10">
      <c r="B20" s="87" t="s">
        <v>83</v>
      </c>
      <c r="C20" s="240" t="s">
        <v>259</v>
      </c>
      <c r="D20" s="240"/>
      <c r="E20" s="240"/>
      <c r="F20" s="240"/>
      <c r="G20" s="240"/>
      <c r="H20" s="240"/>
      <c r="I20" s="240"/>
      <c r="J20" s="241"/>
    </row>
    <row r="21" spans="1:10" ht="16.8" thickBot="1">
      <c r="B21" s="88" t="s">
        <v>5</v>
      </c>
      <c r="C21" s="242" t="s">
        <v>398</v>
      </c>
      <c r="D21" s="242"/>
      <c r="E21" s="242"/>
      <c r="F21" s="242"/>
      <c r="G21" s="242"/>
      <c r="H21" s="242"/>
      <c r="I21" s="242"/>
      <c r="J21" s="243"/>
    </row>
    <row r="22" spans="1:10" ht="16.8" thickBot="1">
      <c r="C22" s="84"/>
      <c r="D22" s="84"/>
      <c r="E22" s="84"/>
      <c r="F22" s="84"/>
      <c r="G22" s="84"/>
      <c r="H22" s="84"/>
      <c r="I22" s="84"/>
      <c r="J22" s="84"/>
    </row>
    <row r="23" spans="1:10">
      <c r="B23" s="244" t="s">
        <v>102</v>
      </c>
      <c r="C23" s="91" t="s">
        <v>106</v>
      </c>
      <c r="D23" s="91" t="s">
        <v>103</v>
      </c>
      <c r="E23" s="91" t="s">
        <v>107</v>
      </c>
      <c r="F23" s="91" t="s">
        <v>104</v>
      </c>
      <c r="G23" s="91" t="s">
        <v>108</v>
      </c>
      <c r="H23" s="91" t="s">
        <v>105</v>
      </c>
      <c r="I23" s="91" t="s">
        <v>24</v>
      </c>
      <c r="J23" s="96" t="s">
        <v>2</v>
      </c>
    </row>
    <row r="24" spans="1:10">
      <c r="B24" s="245"/>
      <c r="C24" s="28" t="s">
        <v>41</v>
      </c>
      <c r="D24" s="28" t="s">
        <v>72</v>
      </c>
      <c r="E24" s="28"/>
      <c r="F24" s="28"/>
      <c r="G24" s="28"/>
      <c r="H24" s="28"/>
      <c r="I24" s="28" t="s">
        <v>75</v>
      </c>
      <c r="J24" s="27" t="s">
        <v>27</v>
      </c>
    </row>
    <row r="25" spans="1:10">
      <c r="B25" s="245"/>
      <c r="C25" s="28" t="s">
        <v>114</v>
      </c>
      <c r="D25" s="28" t="s">
        <v>72</v>
      </c>
      <c r="E25" s="28"/>
      <c r="F25" s="28"/>
      <c r="G25" s="28"/>
      <c r="H25" s="28"/>
      <c r="I25" s="28" t="s">
        <v>76</v>
      </c>
      <c r="J25" s="27" t="s">
        <v>28</v>
      </c>
    </row>
    <row r="26" spans="1:10">
      <c r="B26" s="245"/>
      <c r="C26" s="31" t="s">
        <v>116</v>
      </c>
      <c r="D26" s="28" t="s">
        <v>72</v>
      </c>
      <c r="E26" s="28"/>
      <c r="F26" s="28"/>
      <c r="G26" s="28"/>
      <c r="H26" s="28"/>
      <c r="I26" s="28" t="s">
        <v>281</v>
      </c>
      <c r="J26" s="27" t="s">
        <v>260</v>
      </c>
    </row>
    <row r="27" spans="1:10">
      <c r="B27" s="245"/>
      <c r="C27" s="99" t="s">
        <v>127</v>
      </c>
      <c r="D27" s="28" t="s">
        <v>72</v>
      </c>
      <c r="E27" s="28"/>
      <c r="F27" s="28"/>
      <c r="G27" s="28"/>
      <c r="H27" s="28"/>
      <c r="I27" s="28" t="s">
        <v>232</v>
      </c>
      <c r="J27" s="27" t="s">
        <v>406</v>
      </c>
    </row>
    <row r="28" spans="1:10" ht="156">
      <c r="A28" s="4"/>
      <c r="B28" s="245"/>
      <c r="C28" s="116" t="s">
        <v>128</v>
      </c>
      <c r="D28" s="95" t="s">
        <v>137</v>
      </c>
      <c r="E28" s="95"/>
      <c r="F28" s="95"/>
      <c r="G28" s="95"/>
      <c r="H28" s="95"/>
      <c r="I28" s="116" t="s">
        <v>94</v>
      </c>
      <c r="J28" s="33" t="s">
        <v>393</v>
      </c>
    </row>
    <row r="29" spans="1:10">
      <c r="B29" s="245"/>
      <c r="C29" s="102" t="s">
        <v>134</v>
      </c>
      <c r="D29" s="98" t="s">
        <v>72</v>
      </c>
      <c r="E29" s="98"/>
      <c r="F29" s="98"/>
      <c r="G29" s="28"/>
      <c r="H29" s="28"/>
      <c r="I29" s="28" t="s">
        <v>161</v>
      </c>
      <c r="J29" s="97" t="s">
        <v>99</v>
      </c>
    </row>
    <row r="30" spans="1:10">
      <c r="B30" s="245"/>
      <c r="C30" s="31"/>
      <c r="D30" s="28"/>
      <c r="E30" s="28"/>
      <c r="F30" s="28"/>
      <c r="G30" s="28"/>
      <c r="H30" s="28"/>
      <c r="I30" s="28"/>
      <c r="J30" s="27"/>
    </row>
    <row r="31" spans="1:10">
      <c r="B31" s="245"/>
      <c r="C31" s="28"/>
      <c r="D31" s="28"/>
      <c r="E31" s="28"/>
      <c r="F31" s="28"/>
      <c r="G31" s="28"/>
      <c r="H31" s="28"/>
      <c r="I31" s="28"/>
      <c r="J31" s="27"/>
    </row>
    <row r="32" spans="1:10" ht="16.8" thickBot="1">
      <c r="B32" s="246"/>
      <c r="C32" s="30"/>
      <c r="D32" s="30"/>
      <c r="E32" s="30"/>
      <c r="F32" s="30"/>
      <c r="G32" s="30"/>
      <c r="H32" s="30"/>
      <c r="I32" s="30"/>
      <c r="J32" s="29"/>
    </row>
    <row r="33" spans="2:10">
      <c r="B33" s="85"/>
      <c r="C33" s="83"/>
      <c r="D33" s="83"/>
      <c r="E33" s="83"/>
      <c r="F33" s="83"/>
      <c r="G33" s="83"/>
      <c r="H33" s="83"/>
      <c r="I33" s="83"/>
      <c r="J33" s="83"/>
    </row>
    <row r="34" spans="2:10" ht="65.400000000000006" customHeight="1">
      <c r="B34" s="89" t="s">
        <v>74</v>
      </c>
      <c r="C34" s="247"/>
      <c r="D34" s="248"/>
      <c r="E34" s="248"/>
      <c r="F34" s="248"/>
      <c r="G34" s="248"/>
      <c r="H34" s="248"/>
      <c r="I34" s="248"/>
      <c r="J34" s="249"/>
    </row>
    <row r="35" spans="2:10">
      <c r="B35" s="85"/>
      <c r="C35" s="83"/>
      <c r="D35" s="83"/>
      <c r="E35" s="83"/>
      <c r="F35" s="83"/>
      <c r="G35" s="83"/>
      <c r="H35" s="83"/>
      <c r="I35" s="83"/>
      <c r="J35" s="83"/>
    </row>
  </sheetData>
  <mergeCells count="10">
    <mergeCell ref="C5:J5"/>
    <mergeCell ref="C6:J6"/>
    <mergeCell ref="B8:B16"/>
    <mergeCell ref="C34:J34"/>
    <mergeCell ref="A1:C3"/>
    <mergeCell ref="C19:J19"/>
    <mergeCell ref="C20:J20"/>
    <mergeCell ref="C21:J21"/>
    <mergeCell ref="B23:B32"/>
    <mergeCell ref="C4:J4"/>
  </mergeCells>
  <phoneticPr fontId="1" type="noConversion"/>
  <conditionalFormatting sqref="C23:H23">
    <cfRule type="duplicateValues" dxfId="17" priority="26"/>
  </conditionalFormatting>
  <conditionalFormatting sqref="C8:H8">
    <cfRule type="duplicateValues" dxfId="16" priority="27"/>
  </conditionalFormatting>
  <hyperlinks>
    <hyperlink ref="A4" location="List!A1" display="LIST" xr:uid="{00000000-0004-0000-1400-000000000000}"/>
  </hyperlink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封裝程式殼層物件" shapeId="65541" r:id="rId4">
          <objectPr defaultSize="0" r:id="rId5">
            <anchor moveWithCells="1">
              <from>
                <xdr:col>2</xdr:col>
                <xdr:colOff>342900</xdr:colOff>
                <xdr:row>33</xdr:row>
                <xdr:rowOff>121920</xdr:rowOff>
              </from>
              <to>
                <xdr:col>3</xdr:col>
                <xdr:colOff>327660</xdr:colOff>
                <xdr:row>33</xdr:row>
                <xdr:rowOff>640080</xdr:rowOff>
              </to>
            </anchor>
          </objectPr>
        </oleObject>
      </mc:Choice>
      <mc:Fallback>
        <oleObject progId="封裝程式殼層物件" shapeId="65541" r:id="rId4"/>
      </mc:Fallback>
    </mc:AlternateContent>
    <mc:AlternateContent xmlns:mc="http://schemas.openxmlformats.org/markup-compatibility/2006">
      <mc:Choice Requires="x14">
        <oleObject progId="封裝程式殼層物件" shapeId="65542" r:id="rId6">
          <objectPr defaultSize="0" r:id="rId7">
            <anchor moveWithCells="1">
              <from>
                <xdr:col>3</xdr:col>
                <xdr:colOff>426720</xdr:colOff>
                <xdr:row>33</xdr:row>
                <xdr:rowOff>137160</xdr:rowOff>
              </from>
              <to>
                <xdr:col>5</xdr:col>
                <xdr:colOff>175260</xdr:colOff>
                <xdr:row>33</xdr:row>
                <xdr:rowOff>647700</xdr:rowOff>
              </to>
            </anchor>
          </objectPr>
        </oleObject>
      </mc:Choice>
      <mc:Fallback>
        <oleObject progId="封裝程式殼層物件" shapeId="65542" r:id="rId6"/>
      </mc:Fallback>
    </mc:AlternateContent>
  </oleObjec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33"/>
  <sheetViews>
    <sheetView showGridLines="0" topLeftCell="A17" zoomScale="85" zoomScaleNormal="85" workbookViewId="0">
      <selection activeCell="I40" sqref="I40"/>
    </sheetView>
  </sheetViews>
  <sheetFormatPr defaultColWidth="9" defaultRowHeight="16.2"/>
  <cols>
    <col min="1" max="1" width="9" style="3"/>
    <col min="2" max="2" width="18.77734375" style="3" customWidth="1"/>
    <col min="3" max="3" width="18.6640625" style="3" customWidth="1"/>
    <col min="4" max="4" width="12.77734375" style="3" customWidth="1"/>
    <col min="5" max="5" width="11" style="3" bestFit="1" customWidth="1"/>
    <col min="6" max="6" width="15.88671875" style="3" customWidth="1"/>
    <col min="7" max="7" width="10.33203125" style="3" bestFit="1" customWidth="1"/>
    <col min="8" max="8" width="9" style="3" bestFit="1" customWidth="1"/>
    <col min="9" max="9" width="31.33203125" style="3" customWidth="1"/>
    <col min="10" max="10" width="77.33203125" style="3" customWidth="1"/>
    <col min="11" max="16384" width="9" style="3"/>
  </cols>
  <sheetData>
    <row r="1" spans="1:10">
      <c r="A1" s="250"/>
      <c r="B1" s="250"/>
      <c r="C1" s="250"/>
    </row>
    <row r="2" spans="1:10">
      <c r="A2" s="250"/>
      <c r="B2" s="250"/>
      <c r="C2" s="250"/>
    </row>
    <row r="3" spans="1:10" ht="16.8" thickBot="1">
      <c r="A3" s="250"/>
      <c r="B3" s="250"/>
      <c r="C3" s="250"/>
    </row>
    <row r="4" spans="1:10">
      <c r="A4" s="90" t="s">
        <v>0</v>
      </c>
      <c r="B4" s="86" t="s">
        <v>42</v>
      </c>
      <c r="C4" s="251" t="s">
        <v>326</v>
      </c>
      <c r="D4" s="251"/>
      <c r="E4" s="251"/>
      <c r="F4" s="251"/>
      <c r="G4" s="251"/>
      <c r="H4" s="251"/>
      <c r="I4" s="251"/>
      <c r="J4" s="252"/>
    </row>
    <row r="5" spans="1:10">
      <c r="B5" s="87" t="s">
        <v>83</v>
      </c>
      <c r="C5" s="240" t="s">
        <v>261</v>
      </c>
      <c r="D5" s="240"/>
      <c r="E5" s="240"/>
      <c r="F5" s="240"/>
      <c r="G5" s="240"/>
      <c r="H5" s="240"/>
      <c r="I5" s="240"/>
      <c r="J5" s="241"/>
    </row>
    <row r="6" spans="1:10" ht="16.5" customHeight="1" thickBot="1">
      <c r="A6" s="4"/>
      <c r="B6" s="88" t="s">
        <v>5</v>
      </c>
      <c r="C6" s="242" t="s">
        <v>400</v>
      </c>
      <c r="D6" s="242"/>
      <c r="E6" s="242"/>
      <c r="F6" s="242"/>
      <c r="G6" s="242"/>
      <c r="H6" s="242"/>
      <c r="I6" s="242"/>
      <c r="J6" s="243"/>
    </row>
    <row r="7" spans="1:10" ht="6.6" customHeight="1" thickBot="1">
      <c r="A7" s="4"/>
      <c r="C7" s="84"/>
      <c r="D7" s="84"/>
      <c r="E7" s="84"/>
      <c r="F7" s="84"/>
      <c r="G7" s="84"/>
      <c r="H7" s="84"/>
      <c r="I7" s="84"/>
      <c r="J7" s="84"/>
    </row>
    <row r="8" spans="1:10" ht="16.5" customHeight="1">
      <c r="A8" s="4"/>
      <c r="B8" s="244" t="s">
        <v>102</v>
      </c>
      <c r="C8" s="91" t="s">
        <v>106</v>
      </c>
      <c r="D8" s="91" t="s">
        <v>103</v>
      </c>
      <c r="E8" s="91" t="s">
        <v>107</v>
      </c>
      <c r="F8" s="91" t="s">
        <v>104</v>
      </c>
      <c r="G8" s="91" t="s">
        <v>108</v>
      </c>
      <c r="H8" s="91" t="s">
        <v>105</v>
      </c>
      <c r="I8" s="91" t="s">
        <v>24</v>
      </c>
      <c r="J8" s="96" t="s">
        <v>2</v>
      </c>
    </row>
    <row r="9" spans="1:10">
      <c r="A9" s="4"/>
      <c r="B9" s="245"/>
      <c r="C9" s="28" t="s">
        <v>41</v>
      </c>
      <c r="D9" s="28" t="s">
        <v>72</v>
      </c>
      <c r="E9" s="28"/>
      <c r="F9" s="28"/>
      <c r="G9" s="28"/>
      <c r="H9" s="28"/>
      <c r="I9" s="28" t="s">
        <v>75</v>
      </c>
      <c r="J9" s="27" t="s">
        <v>27</v>
      </c>
    </row>
    <row r="10" spans="1:10">
      <c r="A10" s="4"/>
      <c r="B10" s="245"/>
      <c r="C10" s="28" t="s">
        <v>114</v>
      </c>
      <c r="D10" s="28" t="s">
        <v>72</v>
      </c>
      <c r="E10" s="28"/>
      <c r="F10" s="28"/>
      <c r="G10" s="28"/>
      <c r="H10" s="28"/>
      <c r="I10" s="28" t="s">
        <v>76</v>
      </c>
      <c r="J10" s="27" t="s">
        <v>28</v>
      </c>
    </row>
    <row r="11" spans="1:10">
      <c r="A11" s="4"/>
      <c r="B11" s="245"/>
      <c r="C11" s="31" t="s">
        <v>116</v>
      </c>
      <c r="D11" s="28" t="s">
        <v>72</v>
      </c>
      <c r="E11" s="28"/>
      <c r="F11" s="28"/>
      <c r="G11" s="28"/>
      <c r="H11" s="28"/>
      <c r="I11" s="28" t="s">
        <v>281</v>
      </c>
      <c r="J11" s="27" t="s">
        <v>260</v>
      </c>
    </row>
    <row r="12" spans="1:10">
      <c r="B12" s="245"/>
      <c r="C12" s="99" t="s">
        <v>127</v>
      </c>
      <c r="D12" s="28" t="s">
        <v>72</v>
      </c>
      <c r="E12" s="28"/>
      <c r="F12" s="28"/>
      <c r="G12" s="28"/>
      <c r="H12" s="28"/>
      <c r="I12" s="28" t="s">
        <v>232</v>
      </c>
      <c r="J12" s="27" t="s">
        <v>405</v>
      </c>
    </row>
    <row r="13" spans="1:10" ht="140.4">
      <c r="A13" s="4"/>
      <c r="B13" s="245"/>
      <c r="C13" s="116" t="s">
        <v>128</v>
      </c>
      <c r="D13" s="95" t="s">
        <v>137</v>
      </c>
      <c r="E13" s="95"/>
      <c r="F13" s="95"/>
      <c r="G13" s="95"/>
      <c r="H13" s="95"/>
      <c r="I13" s="116" t="s">
        <v>94</v>
      </c>
      <c r="J13" s="33" t="s">
        <v>393</v>
      </c>
    </row>
    <row r="14" spans="1:10">
      <c r="B14" s="245"/>
      <c r="C14" s="102" t="s">
        <v>134</v>
      </c>
      <c r="D14" s="98" t="s">
        <v>72</v>
      </c>
      <c r="E14" s="98"/>
      <c r="F14" s="98"/>
      <c r="G14" s="28"/>
      <c r="H14" s="28"/>
      <c r="I14" s="28" t="s">
        <v>161</v>
      </c>
      <c r="J14" s="97" t="s">
        <v>99</v>
      </c>
    </row>
    <row r="15" spans="1:10">
      <c r="B15" s="245"/>
      <c r="C15" s="99"/>
      <c r="D15" s="28"/>
      <c r="E15" s="28"/>
      <c r="F15" s="28"/>
      <c r="G15" s="28"/>
      <c r="H15" s="28"/>
      <c r="I15" s="28"/>
      <c r="J15" s="27"/>
    </row>
    <row r="16" spans="1:10">
      <c r="A16" s="4"/>
      <c r="B16" s="245"/>
      <c r="C16" s="28"/>
      <c r="D16" s="28"/>
      <c r="E16" s="28"/>
      <c r="F16" s="28"/>
      <c r="G16" s="28"/>
      <c r="H16" s="28"/>
      <c r="I16" s="28"/>
      <c r="J16" s="27"/>
    </row>
    <row r="17" spans="1:10" ht="16.8" thickBot="1">
      <c r="A17" s="4"/>
      <c r="B17" s="246"/>
      <c r="C17" s="30"/>
      <c r="D17" s="30"/>
      <c r="E17" s="30"/>
      <c r="F17" s="30"/>
      <c r="G17" s="30"/>
      <c r="H17" s="30"/>
      <c r="I17" s="30"/>
      <c r="J17" s="29"/>
    </row>
    <row r="18" spans="1:10">
      <c r="A18" s="84"/>
      <c r="B18" s="85"/>
      <c r="C18" s="83"/>
      <c r="D18" s="83"/>
      <c r="E18" s="83"/>
      <c r="F18" s="83"/>
      <c r="G18" s="83"/>
      <c r="H18" s="83"/>
      <c r="I18" s="83"/>
      <c r="J18" s="83"/>
    </row>
    <row r="19" spans="1:10" ht="16.8" thickBot="1">
      <c r="A19" s="84"/>
      <c r="B19" s="85"/>
      <c r="C19" s="83"/>
      <c r="D19" s="83"/>
      <c r="E19" s="83"/>
      <c r="F19" s="83"/>
      <c r="G19" s="83"/>
      <c r="H19" s="83"/>
      <c r="I19" s="83"/>
      <c r="J19" s="83"/>
    </row>
    <row r="20" spans="1:10" ht="16.2" customHeight="1">
      <c r="A20" s="84"/>
      <c r="B20" s="86" t="s">
        <v>42</v>
      </c>
      <c r="C20" s="251" t="s">
        <v>327</v>
      </c>
      <c r="D20" s="251"/>
      <c r="E20" s="251"/>
      <c r="F20" s="251"/>
      <c r="G20" s="251"/>
      <c r="H20" s="251"/>
      <c r="I20" s="251"/>
      <c r="J20" s="252"/>
    </row>
    <row r="21" spans="1:10">
      <c r="A21" s="84"/>
      <c r="B21" s="87" t="s">
        <v>83</v>
      </c>
      <c r="C21" s="240" t="s">
        <v>264</v>
      </c>
      <c r="D21" s="240"/>
      <c r="E21" s="240"/>
      <c r="F21" s="240"/>
      <c r="G21" s="240"/>
      <c r="H21" s="240"/>
      <c r="I21" s="240"/>
      <c r="J21" s="241"/>
    </row>
    <row r="22" spans="1:10" ht="16.8" thickBot="1">
      <c r="A22" s="4"/>
      <c r="B22" s="88" t="s">
        <v>5</v>
      </c>
      <c r="C22" s="242" t="s">
        <v>401</v>
      </c>
      <c r="D22" s="242"/>
      <c r="E22" s="242"/>
      <c r="F22" s="242"/>
      <c r="G22" s="242"/>
      <c r="H22" s="242"/>
      <c r="I22" s="242"/>
      <c r="J22" s="243"/>
    </row>
    <row r="23" spans="1:10" ht="10.199999999999999" customHeight="1" thickBot="1">
      <c r="A23" s="4"/>
      <c r="C23" s="84"/>
      <c r="D23" s="84"/>
      <c r="E23" s="84"/>
      <c r="F23" s="84"/>
      <c r="G23" s="84"/>
      <c r="H23" s="84"/>
      <c r="I23" s="84"/>
      <c r="J23" s="84"/>
    </row>
    <row r="24" spans="1:10">
      <c r="B24" s="244" t="s">
        <v>102</v>
      </c>
      <c r="C24" s="91" t="s">
        <v>106</v>
      </c>
      <c r="D24" s="91" t="s">
        <v>103</v>
      </c>
      <c r="E24" s="91" t="s">
        <v>107</v>
      </c>
      <c r="F24" s="91" t="s">
        <v>104</v>
      </c>
      <c r="G24" s="91" t="s">
        <v>108</v>
      </c>
      <c r="H24" s="91" t="s">
        <v>105</v>
      </c>
      <c r="I24" s="91" t="s">
        <v>24</v>
      </c>
      <c r="J24" s="96" t="s">
        <v>2</v>
      </c>
    </row>
    <row r="25" spans="1:10">
      <c r="B25" s="245"/>
      <c r="C25" s="28" t="s">
        <v>41</v>
      </c>
      <c r="D25" s="28" t="s">
        <v>72</v>
      </c>
      <c r="E25" s="28"/>
      <c r="F25" s="28"/>
      <c r="G25" s="28"/>
      <c r="H25" s="28"/>
      <c r="I25" s="28" t="s">
        <v>75</v>
      </c>
      <c r="J25" s="27" t="s">
        <v>27</v>
      </c>
    </row>
    <row r="26" spans="1:10">
      <c r="B26" s="245"/>
      <c r="C26" s="28" t="s">
        <v>114</v>
      </c>
      <c r="D26" s="28" t="s">
        <v>72</v>
      </c>
      <c r="E26" s="28"/>
      <c r="F26" s="28"/>
      <c r="G26" s="28"/>
      <c r="H26" s="28"/>
      <c r="I26" s="28" t="s">
        <v>76</v>
      </c>
      <c r="J26" s="27" t="s">
        <v>28</v>
      </c>
    </row>
    <row r="27" spans="1:10">
      <c r="B27" s="245"/>
      <c r="C27" s="31" t="s">
        <v>116</v>
      </c>
      <c r="D27" s="28" t="s">
        <v>72</v>
      </c>
      <c r="E27" s="28"/>
      <c r="F27" s="28"/>
      <c r="G27" s="28"/>
      <c r="H27" s="28"/>
      <c r="I27" s="28" t="s">
        <v>281</v>
      </c>
      <c r="J27" s="33" t="s">
        <v>260</v>
      </c>
    </row>
    <row r="28" spans="1:10">
      <c r="B28" s="253"/>
      <c r="C28" s="99" t="s">
        <v>127</v>
      </c>
      <c r="D28" s="28" t="s">
        <v>72</v>
      </c>
      <c r="E28" s="28"/>
      <c r="F28" s="28"/>
      <c r="G28" s="28"/>
      <c r="H28" s="28"/>
      <c r="I28" s="28" t="s">
        <v>232</v>
      </c>
      <c r="J28" s="27" t="s">
        <v>405</v>
      </c>
    </row>
    <row r="29" spans="1:10" ht="140.4">
      <c r="A29" s="4"/>
      <c r="B29" s="253"/>
      <c r="C29" s="116" t="s">
        <v>128</v>
      </c>
      <c r="D29" s="95" t="s">
        <v>137</v>
      </c>
      <c r="E29" s="95"/>
      <c r="F29" s="95"/>
      <c r="G29" s="95"/>
      <c r="H29" s="95"/>
      <c r="I29" s="116" t="s">
        <v>94</v>
      </c>
      <c r="J29" s="33" t="s">
        <v>393</v>
      </c>
    </row>
    <row r="30" spans="1:10">
      <c r="B30" s="253"/>
      <c r="C30" s="102" t="s">
        <v>134</v>
      </c>
      <c r="D30" s="98" t="s">
        <v>72</v>
      </c>
      <c r="E30" s="98"/>
      <c r="F30" s="98"/>
      <c r="G30" s="28"/>
      <c r="H30" s="28"/>
      <c r="I30" s="28" t="s">
        <v>161</v>
      </c>
      <c r="J30" s="97" t="s">
        <v>99</v>
      </c>
    </row>
    <row r="31" spans="1:10" ht="16.8" thickBot="1">
      <c r="B31" s="246"/>
      <c r="C31" s="30"/>
      <c r="D31" s="30"/>
      <c r="E31" s="30"/>
      <c r="F31" s="30"/>
      <c r="G31" s="30"/>
      <c r="H31" s="30"/>
      <c r="I31" s="30"/>
      <c r="J31" s="29"/>
    </row>
    <row r="32" spans="1:10">
      <c r="B32" s="85"/>
      <c r="C32" s="83"/>
      <c r="D32" s="83"/>
      <c r="E32" s="83"/>
      <c r="F32" s="83"/>
      <c r="G32" s="83"/>
      <c r="H32" s="83"/>
      <c r="I32" s="83"/>
      <c r="J32" s="83"/>
    </row>
    <row r="33" spans="2:10" ht="65.400000000000006" customHeight="1">
      <c r="B33" s="89" t="s">
        <v>74</v>
      </c>
      <c r="C33" s="247"/>
      <c r="D33" s="248"/>
      <c r="E33" s="248"/>
      <c r="F33" s="248"/>
      <c r="G33" s="248"/>
      <c r="H33" s="248"/>
      <c r="I33" s="248"/>
      <c r="J33" s="249"/>
    </row>
  </sheetData>
  <mergeCells count="10">
    <mergeCell ref="C21:J21"/>
    <mergeCell ref="C22:J22"/>
    <mergeCell ref="B24:B31"/>
    <mergeCell ref="C33:J33"/>
    <mergeCell ref="A1:C3"/>
    <mergeCell ref="C4:J4"/>
    <mergeCell ref="C5:J5"/>
    <mergeCell ref="C6:J6"/>
    <mergeCell ref="B8:B17"/>
    <mergeCell ref="C20:J20"/>
  </mergeCells>
  <phoneticPr fontId="1" type="noConversion"/>
  <conditionalFormatting sqref="C8:H8">
    <cfRule type="duplicateValues" dxfId="15" priority="2"/>
  </conditionalFormatting>
  <conditionalFormatting sqref="C24:H24">
    <cfRule type="duplicateValues" dxfId="14" priority="1"/>
  </conditionalFormatting>
  <hyperlinks>
    <hyperlink ref="A4" location="List!A1" display="LIST" xr:uid="{00000000-0004-0000-1500-000000000000}"/>
  </hyperlink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封裝程式殼層物件" shapeId="66565" r:id="rId4">
          <objectPr defaultSize="0" r:id="rId5">
            <anchor moveWithCells="1">
              <from>
                <xdr:col>2</xdr:col>
                <xdr:colOff>693420</xdr:colOff>
                <xdr:row>32</xdr:row>
                <xdr:rowOff>190500</xdr:rowOff>
              </from>
              <to>
                <xdr:col>3</xdr:col>
                <xdr:colOff>601980</xdr:colOff>
                <xdr:row>32</xdr:row>
                <xdr:rowOff>708660</xdr:rowOff>
              </to>
            </anchor>
          </objectPr>
        </oleObject>
      </mc:Choice>
      <mc:Fallback>
        <oleObject progId="封裝程式殼層物件" shapeId="66565" r:id="rId4"/>
      </mc:Fallback>
    </mc:AlternateContent>
    <mc:AlternateContent xmlns:mc="http://schemas.openxmlformats.org/markup-compatibility/2006">
      <mc:Choice Requires="x14">
        <oleObject progId="封裝程式殼層物件" shapeId="66566" r:id="rId6">
          <objectPr defaultSize="0" r:id="rId7">
            <anchor moveWithCells="1">
              <from>
                <xdr:col>3</xdr:col>
                <xdr:colOff>731520</xdr:colOff>
                <xdr:row>32</xdr:row>
                <xdr:rowOff>190500</xdr:rowOff>
              </from>
              <to>
                <xdr:col>5</xdr:col>
                <xdr:colOff>647700</xdr:colOff>
                <xdr:row>32</xdr:row>
                <xdr:rowOff>708660</xdr:rowOff>
              </to>
            </anchor>
          </objectPr>
        </oleObject>
      </mc:Choice>
      <mc:Fallback>
        <oleObject progId="封裝程式殼層物件" shapeId="66566" r:id="rId6"/>
      </mc:Fallback>
    </mc:AlternateContent>
  </oleObjec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37"/>
  <sheetViews>
    <sheetView showGridLines="0" topLeftCell="A10" zoomScale="80" zoomScaleNormal="80" workbookViewId="0">
      <selection activeCell="C37" sqref="C37:J37"/>
    </sheetView>
  </sheetViews>
  <sheetFormatPr defaultColWidth="9" defaultRowHeight="16.2"/>
  <cols>
    <col min="1" max="1" width="9" style="3"/>
    <col min="2" max="2" width="18.77734375" style="3" customWidth="1"/>
    <col min="3" max="3" width="18.6640625" style="3" customWidth="1"/>
    <col min="4" max="4" width="13.44140625" style="3" bestFit="1" customWidth="1"/>
    <col min="5" max="5" width="10.33203125" style="3" bestFit="1" customWidth="1"/>
    <col min="6" max="6" width="9" style="3" bestFit="1" customWidth="1"/>
    <col min="7" max="7" width="16.88671875" style="3" customWidth="1"/>
    <col min="8" max="8" width="15.88671875" style="3" customWidth="1"/>
    <col min="9" max="9" width="31.33203125" style="3" customWidth="1"/>
    <col min="10" max="10" width="77.33203125" style="3" customWidth="1"/>
    <col min="11" max="16384" width="9" style="3"/>
  </cols>
  <sheetData>
    <row r="1" spans="1:10">
      <c r="A1" s="250"/>
      <c r="B1" s="250"/>
      <c r="C1" s="250"/>
    </row>
    <row r="2" spans="1:10">
      <c r="A2" s="250"/>
      <c r="B2" s="250"/>
      <c r="C2" s="250"/>
    </row>
    <row r="3" spans="1:10" ht="16.8" thickBot="1">
      <c r="A3" s="250"/>
      <c r="B3" s="250"/>
      <c r="C3" s="250"/>
    </row>
    <row r="4" spans="1:10">
      <c r="A4" s="90" t="s">
        <v>0</v>
      </c>
      <c r="B4" s="86" t="s">
        <v>42</v>
      </c>
      <c r="C4" s="251" t="s">
        <v>333</v>
      </c>
      <c r="D4" s="251"/>
      <c r="E4" s="251"/>
      <c r="F4" s="251"/>
      <c r="G4" s="251"/>
      <c r="H4" s="251"/>
      <c r="I4" s="251"/>
      <c r="J4" s="252"/>
    </row>
    <row r="5" spans="1:10">
      <c r="B5" s="87" t="s">
        <v>83</v>
      </c>
      <c r="C5" s="240" t="s">
        <v>337</v>
      </c>
      <c r="D5" s="240"/>
      <c r="E5" s="240"/>
      <c r="F5" s="240"/>
      <c r="G5" s="240"/>
      <c r="H5" s="240"/>
      <c r="I5" s="240"/>
      <c r="J5" s="241"/>
    </row>
    <row r="6" spans="1:10" ht="16.5" customHeight="1" thickBot="1">
      <c r="A6" s="4"/>
      <c r="B6" s="88" t="s">
        <v>5</v>
      </c>
      <c r="C6" s="242" t="s">
        <v>402</v>
      </c>
      <c r="D6" s="242"/>
      <c r="E6" s="242"/>
      <c r="F6" s="242"/>
      <c r="G6" s="242"/>
      <c r="H6" s="242"/>
      <c r="I6" s="242"/>
      <c r="J6" s="243"/>
    </row>
    <row r="7" spans="1:10" ht="6.6" customHeight="1" thickBot="1">
      <c r="A7" s="4"/>
      <c r="C7" s="84"/>
      <c r="D7" s="84"/>
      <c r="E7" s="84"/>
      <c r="F7" s="84"/>
      <c r="G7" s="84"/>
      <c r="H7" s="84"/>
      <c r="I7" s="84"/>
      <c r="J7" s="84"/>
    </row>
    <row r="8" spans="1:10" ht="16.5" customHeight="1">
      <c r="A8" s="4"/>
      <c r="B8" s="244" t="s">
        <v>102</v>
      </c>
      <c r="C8" s="91" t="s">
        <v>106</v>
      </c>
      <c r="D8" s="91" t="s">
        <v>103</v>
      </c>
      <c r="E8" s="91" t="s">
        <v>107</v>
      </c>
      <c r="F8" s="91" t="s">
        <v>104</v>
      </c>
      <c r="G8" s="91" t="s">
        <v>108</v>
      </c>
      <c r="H8" s="91" t="s">
        <v>105</v>
      </c>
      <c r="I8" s="91" t="s">
        <v>24</v>
      </c>
      <c r="J8" s="96" t="s">
        <v>2</v>
      </c>
    </row>
    <row r="9" spans="1:10">
      <c r="A9" s="4"/>
      <c r="B9" s="245"/>
      <c r="C9" s="28" t="s">
        <v>41</v>
      </c>
      <c r="D9" s="28" t="s">
        <v>72</v>
      </c>
      <c r="E9" s="28"/>
      <c r="F9" s="28"/>
      <c r="G9" s="28"/>
      <c r="H9" s="28"/>
      <c r="I9" s="28" t="s">
        <v>75</v>
      </c>
      <c r="J9" s="27" t="s">
        <v>27</v>
      </c>
    </row>
    <row r="10" spans="1:10">
      <c r="A10" s="4"/>
      <c r="B10" s="245"/>
      <c r="C10" s="28" t="s">
        <v>114</v>
      </c>
      <c r="D10" s="28" t="s">
        <v>72</v>
      </c>
      <c r="E10" s="28"/>
      <c r="F10" s="28"/>
      <c r="G10" s="28"/>
      <c r="H10" s="28"/>
      <c r="I10" s="28" t="s">
        <v>76</v>
      </c>
      <c r="J10" s="27" t="s">
        <v>28</v>
      </c>
    </row>
    <row r="11" spans="1:10">
      <c r="A11" s="4"/>
      <c r="B11" s="245"/>
      <c r="C11" s="31" t="s">
        <v>116</v>
      </c>
      <c r="D11" s="28" t="s">
        <v>72</v>
      </c>
      <c r="E11" s="28"/>
      <c r="F11" s="28"/>
      <c r="G11" s="28"/>
      <c r="H11" s="28"/>
      <c r="I11" s="28" t="s">
        <v>281</v>
      </c>
      <c r="J11" s="27" t="s">
        <v>260</v>
      </c>
    </row>
    <row r="12" spans="1:10">
      <c r="A12" s="4"/>
      <c r="B12" s="245"/>
      <c r="C12" s="36" t="s">
        <v>127</v>
      </c>
      <c r="D12" s="28" t="s">
        <v>72</v>
      </c>
      <c r="E12" s="28"/>
      <c r="F12" s="28"/>
      <c r="G12" s="28"/>
      <c r="H12" s="28"/>
      <c r="I12" s="28" t="s">
        <v>232</v>
      </c>
      <c r="J12" s="27" t="s">
        <v>407</v>
      </c>
    </row>
    <row r="13" spans="1:10" ht="140.4">
      <c r="A13" s="4"/>
      <c r="B13" s="245"/>
      <c r="C13" s="34" t="s">
        <v>128</v>
      </c>
      <c r="D13" s="28" t="s">
        <v>137</v>
      </c>
      <c r="E13" s="28"/>
      <c r="F13" s="28"/>
      <c r="G13" s="28"/>
      <c r="H13" s="28"/>
      <c r="I13" s="34" t="s">
        <v>94</v>
      </c>
      <c r="J13" s="33" t="s">
        <v>393</v>
      </c>
    </row>
    <row r="14" spans="1:10">
      <c r="A14" s="4"/>
      <c r="B14" s="245"/>
      <c r="C14" s="34" t="s">
        <v>143</v>
      </c>
      <c r="D14" s="98" t="s">
        <v>72</v>
      </c>
      <c r="E14" s="28"/>
      <c r="F14" s="28"/>
      <c r="G14" s="28"/>
      <c r="H14" s="28"/>
      <c r="I14" s="34" t="s">
        <v>404</v>
      </c>
      <c r="J14" s="33" t="s">
        <v>403</v>
      </c>
    </row>
    <row r="15" spans="1:10">
      <c r="B15" s="245"/>
      <c r="C15" s="102" t="s">
        <v>134</v>
      </c>
      <c r="D15" s="98" t="s">
        <v>72</v>
      </c>
      <c r="E15" s="98"/>
      <c r="F15" s="98"/>
      <c r="G15" s="28"/>
      <c r="H15" s="28"/>
      <c r="I15" s="28" t="s">
        <v>161</v>
      </c>
      <c r="J15" s="97" t="s">
        <v>99</v>
      </c>
    </row>
    <row r="16" spans="1:10">
      <c r="A16" s="4"/>
      <c r="B16" s="245"/>
      <c r="C16" s="100" t="s">
        <v>438</v>
      </c>
      <c r="D16" s="100" t="s">
        <v>72</v>
      </c>
      <c r="E16" s="28"/>
      <c r="F16" s="28"/>
      <c r="G16" s="28"/>
      <c r="H16" s="28"/>
      <c r="I16" s="28" t="s">
        <v>87</v>
      </c>
      <c r="J16" s="97" t="s">
        <v>439</v>
      </c>
    </row>
    <row r="17" spans="1:10">
      <c r="A17" s="84"/>
      <c r="B17" s="245"/>
      <c r="C17" s="142" t="s">
        <v>440</v>
      </c>
      <c r="D17" s="28" t="s">
        <v>72</v>
      </c>
      <c r="E17" s="99"/>
      <c r="F17" s="98"/>
      <c r="G17" s="142"/>
      <c r="H17" s="28"/>
      <c r="I17" s="143" t="s">
        <v>76</v>
      </c>
      <c r="J17" s="47" t="s">
        <v>441</v>
      </c>
    </row>
    <row r="18" spans="1:10">
      <c r="A18" s="4"/>
      <c r="B18" s="245"/>
      <c r="C18" s="102" t="s">
        <v>145</v>
      </c>
      <c r="D18" s="100" t="s">
        <v>25</v>
      </c>
      <c r="E18" s="28"/>
      <c r="F18" s="28"/>
      <c r="G18" s="28"/>
      <c r="H18" s="28"/>
      <c r="I18" s="28"/>
      <c r="J18" s="97"/>
    </row>
    <row r="19" spans="1:10">
      <c r="B19" s="245"/>
      <c r="C19" s="102"/>
      <c r="D19" s="98"/>
      <c r="E19" s="102" t="s">
        <v>98</v>
      </c>
      <c r="F19" s="98" t="s">
        <v>97</v>
      </c>
      <c r="G19" s="28"/>
      <c r="H19" s="28"/>
      <c r="I19" s="28"/>
      <c r="J19" s="27"/>
    </row>
    <row r="20" spans="1:10">
      <c r="B20" s="245"/>
      <c r="C20" s="98"/>
      <c r="D20" s="98"/>
      <c r="E20" s="103"/>
      <c r="F20" s="100"/>
      <c r="G20" s="103" t="s">
        <v>135</v>
      </c>
      <c r="H20" s="100" t="s">
        <v>72</v>
      </c>
      <c r="I20" s="95" t="s">
        <v>288</v>
      </c>
      <c r="J20" s="27" t="s">
        <v>409</v>
      </c>
    </row>
    <row r="21" spans="1:10" ht="46.8">
      <c r="B21" s="245"/>
      <c r="C21" s="98"/>
      <c r="D21" s="98"/>
      <c r="E21" s="103"/>
      <c r="F21" s="100"/>
      <c r="G21" s="103" t="s">
        <v>136</v>
      </c>
      <c r="H21" s="100" t="s">
        <v>160</v>
      </c>
      <c r="I21" s="95" t="s">
        <v>410</v>
      </c>
      <c r="J21" s="27" t="s">
        <v>408</v>
      </c>
    </row>
    <row r="22" spans="1:10">
      <c r="A22" s="4"/>
      <c r="B22" s="245"/>
      <c r="C22" s="28"/>
      <c r="D22" s="28"/>
      <c r="E22" s="28"/>
      <c r="F22" s="28"/>
      <c r="G22" s="28"/>
      <c r="H22" s="28"/>
      <c r="I22" s="28"/>
      <c r="J22" s="27"/>
    </row>
    <row r="23" spans="1:10" ht="16.8" thickBot="1">
      <c r="A23" s="4"/>
      <c r="B23" s="246"/>
      <c r="C23" s="30"/>
      <c r="D23" s="30"/>
      <c r="E23" s="30"/>
      <c r="F23" s="30"/>
      <c r="G23" s="30"/>
      <c r="H23" s="30"/>
      <c r="I23" s="30"/>
      <c r="J23" s="29"/>
    </row>
    <row r="24" spans="1:10">
      <c r="A24" s="84"/>
      <c r="B24" s="85"/>
      <c r="C24" s="83"/>
      <c r="D24" s="83"/>
      <c r="E24" s="83"/>
      <c r="F24" s="83"/>
      <c r="G24" s="83"/>
      <c r="H24" s="83"/>
      <c r="I24" s="83"/>
      <c r="J24" s="83"/>
    </row>
    <row r="25" spans="1:10" ht="16.8" thickBot="1">
      <c r="A25" s="84"/>
      <c r="B25" s="85"/>
      <c r="C25" s="83"/>
      <c r="D25" s="83"/>
      <c r="E25" s="83"/>
      <c r="F25" s="83"/>
      <c r="G25" s="83"/>
      <c r="H25" s="83"/>
      <c r="I25" s="83"/>
      <c r="J25" s="83"/>
    </row>
    <row r="26" spans="1:10" ht="16.2" customHeight="1">
      <c r="A26" s="84"/>
      <c r="B26" s="86" t="s">
        <v>42</v>
      </c>
      <c r="C26" s="251" t="s">
        <v>335</v>
      </c>
      <c r="D26" s="251"/>
      <c r="E26" s="251"/>
      <c r="F26" s="251"/>
      <c r="G26" s="251"/>
      <c r="H26" s="251"/>
      <c r="I26" s="251"/>
      <c r="J26" s="252"/>
    </row>
    <row r="27" spans="1:10">
      <c r="A27" s="84"/>
      <c r="B27" s="87" t="s">
        <v>83</v>
      </c>
      <c r="C27" s="240" t="s">
        <v>336</v>
      </c>
      <c r="D27" s="240"/>
      <c r="E27" s="240"/>
      <c r="F27" s="240"/>
      <c r="G27" s="240"/>
      <c r="H27" s="240"/>
      <c r="I27" s="240"/>
      <c r="J27" s="241"/>
    </row>
    <row r="28" spans="1:10" ht="16.8" thickBot="1">
      <c r="A28" s="4"/>
      <c r="B28" s="88" t="s">
        <v>5</v>
      </c>
      <c r="C28" s="242" t="s">
        <v>144</v>
      </c>
      <c r="D28" s="242"/>
      <c r="E28" s="242"/>
      <c r="F28" s="242"/>
      <c r="G28" s="242"/>
      <c r="H28" s="242"/>
      <c r="I28" s="242"/>
      <c r="J28" s="243"/>
    </row>
    <row r="29" spans="1:10" ht="10.199999999999999" customHeight="1" thickBot="1">
      <c r="A29" s="4"/>
      <c r="C29" s="84"/>
      <c r="D29" s="84"/>
      <c r="E29" s="84"/>
      <c r="F29" s="84"/>
      <c r="G29" s="84"/>
      <c r="H29" s="84"/>
      <c r="I29" s="84"/>
      <c r="J29" s="84"/>
    </row>
    <row r="30" spans="1:10">
      <c r="B30" s="244" t="s">
        <v>102</v>
      </c>
      <c r="C30" s="91" t="s">
        <v>106</v>
      </c>
      <c r="D30" s="91" t="s">
        <v>103</v>
      </c>
      <c r="E30" s="91" t="s">
        <v>107</v>
      </c>
      <c r="F30" s="91" t="s">
        <v>104</v>
      </c>
      <c r="G30" s="91" t="s">
        <v>108</v>
      </c>
      <c r="H30" s="91" t="s">
        <v>105</v>
      </c>
      <c r="I30" s="91" t="s">
        <v>24</v>
      </c>
      <c r="J30" s="96" t="s">
        <v>2</v>
      </c>
    </row>
    <row r="31" spans="1:10">
      <c r="B31" s="245"/>
      <c r="C31" s="28" t="s">
        <v>41</v>
      </c>
      <c r="D31" s="28" t="s">
        <v>72</v>
      </c>
      <c r="E31" s="28"/>
      <c r="F31" s="28"/>
      <c r="G31" s="28"/>
      <c r="H31" s="28"/>
      <c r="I31" s="28" t="s">
        <v>75</v>
      </c>
      <c r="J31" s="27" t="s">
        <v>27</v>
      </c>
    </row>
    <row r="32" spans="1:10">
      <c r="B32" s="245"/>
      <c r="C32" s="28" t="s">
        <v>114</v>
      </c>
      <c r="D32" s="28" t="s">
        <v>72</v>
      </c>
      <c r="E32" s="28"/>
      <c r="F32" s="28"/>
      <c r="G32" s="28"/>
      <c r="H32" s="28"/>
      <c r="I32" s="28" t="s">
        <v>76</v>
      </c>
      <c r="J32" s="27" t="s">
        <v>28</v>
      </c>
    </row>
    <row r="33" spans="2:10">
      <c r="B33" s="245"/>
      <c r="C33" s="31" t="s">
        <v>116</v>
      </c>
      <c r="D33" s="28" t="s">
        <v>72</v>
      </c>
      <c r="E33" s="28"/>
      <c r="F33" s="28"/>
      <c r="G33" s="28"/>
      <c r="H33" s="28"/>
      <c r="I33" s="28" t="s">
        <v>334</v>
      </c>
      <c r="J33" s="27" t="s">
        <v>260</v>
      </c>
    </row>
    <row r="34" spans="2:10">
      <c r="B34" s="253"/>
      <c r="C34" s="102" t="s">
        <v>134</v>
      </c>
      <c r="D34" s="98" t="s">
        <v>72</v>
      </c>
      <c r="E34" s="98"/>
      <c r="F34" s="98"/>
      <c r="G34" s="28"/>
      <c r="H34" s="28"/>
      <c r="I34" s="28" t="s">
        <v>161</v>
      </c>
      <c r="J34" s="97" t="s">
        <v>99</v>
      </c>
    </row>
    <row r="35" spans="2:10" ht="16.8" thickBot="1">
      <c r="B35" s="246"/>
      <c r="C35" s="30"/>
      <c r="D35" s="30"/>
      <c r="E35" s="30"/>
      <c r="F35" s="30"/>
      <c r="G35" s="30"/>
      <c r="H35" s="30"/>
      <c r="I35" s="30"/>
      <c r="J35" s="29"/>
    </row>
    <row r="36" spans="2:10">
      <c r="B36" s="85"/>
      <c r="C36" s="83"/>
      <c r="D36" s="83"/>
      <c r="E36" s="83"/>
      <c r="F36" s="83"/>
      <c r="G36" s="83"/>
      <c r="H36" s="83"/>
      <c r="I36" s="83"/>
      <c r="J36" s="83"/>
    </row>
    <row r="37" spans="2:10" ht="65.400000000000006" customHeight="1">
      <c r="B37" s="89" t="s">
        <v>74</v>
      </c>
      <c r="C37" s="247"/>
      <c r="D37" s="248"/>
      <c r="E37" s="248"/>
      <c r="F37" s="248"/>
      <c r="G37" s="248"/>
      <c r="H37" s="248"/>
      <c r="I37" s="248"/>
      <c r="J37" s="249"/>
    </row>
  </sheetData>
  <mergeCells count="10">
    <mergeCell ref="C27:J27"/>
    <mergeCell ref="C28:J28"/>
    <mergeCell ref="B30:B35"/>
    <mergeCell ref="C37:J37"/>
    <mergeCell ref="A1:C3"/>
    <mergeCell ref="C4:J4"/>
    <mergeCell ref="C5:J5"/>
    <mergeCell ref="C6:J6"/>
    <mergeCell ref="B8:B23"/>
    <mergeCell ref="C26:J26"/>
  </mergeCells>
  <phoneticPr fontId="1" type="noConversion"/>
  <conditionalFormatting sqref="C8:H8">
    <cfRule type="duplicateValues" dxfId="13" priority="2"/>
  </conditionalFormatting>
  <conditionalFormatting sqref="C30:H30">
    <cfRule type="duplicateValues" dxfId="12" priority="1"/>
  </conditionalFormatting>
  <hyperlinks>
    <hyperlink ref="A4" location="List!A1" display="LIST" xr:uid="{00000000-0004-0000-1600-000000000000}"/>
  </hyperlink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封裝程式殼層物件" shapeId="67588" r:id="rId4">
          <objectPr defaultSize="0" r:id="rId5">
            <anchor moveWithCells="1">
              <from>
                <xdr:col>2</xdr:col>
                <xdr:colOff>525780</xdr:colOff>
                <xdr:row>36</xdr:row>
                <xdr:rowOff>167640</xdr:rowOff>
              </from>
              <to>
                <xdr:col>2</xdr:col>
                <xdr:colOff>1074420</xdr:colOff>
                <xdr:row>36</xdr:row>
                <xdr:rowOff>685800</xdr:rowOff>
              </to>
            </anchor>
          </objectPr>
        </oleObject>
      </mc:Choice>
      <mc:Fallback>
        <oleObject progId="封裝程式殼層物件" shapeId="67588" r:id="rId4"/>
      </mc:Fallback>
    </mc:AlternateContent>
    <mc:AlternateContent xmlns:mc="http://schemas.openxmlformats.org/markup-compatibility/2006">
      <mc:Choice Requires="x14">
        <oleObject progId="封裝程式殼層物件" shapeId="67591" r:id="rId6">
          <objectPr defaultSize="0" r:id="rId7">
            <anchor moveWithCells="1">
              <from>
                <xdr:col>3</xdr:col>
                <xdr:colOff>99060</xdr:colOff>
                <xdr:row>36</xdr:row>
                <xdr:rowOff>205740</xdr:rowOff>
              </from>
              <to>
                <xdr:col>4</xdr:col>
                <xdr:colOff>594360</xdr:colOff>
                <xdr:row>36</xdr:row>
                <xdr:rowOff>716280</xdr:rowOff>
              </to>
            </anchor>
          </objectPr>
        </oleObject>
      </mc:Choice>
      <mc:Fallback>
        <oleObject progId="封裝程式殼層物件" shapeId="67591" r:id="rId6"/>
      </mc:Fallback>
    </mc:AlternateContent>
    <mc:AlternateContent xmlns:mc="http://schemas.openxmlformats.org/markup-compatibility/2006">
      <mc:Choice Requires="x14">
        <oleObject progId="封裝程式殼層物件" shapeId="67592" r:id="rId8">
          <objectPr defaultSize="0" r:id="rId9">
            <anchor moveWithCells="1">
              <from>
                <xdr:col>5</xdr:col>
                <xdr:colOff>144780</xdr:colOff>
                <xdr:row>36</xdr:row>
                <xdr:rowOff>213360</xdr:rowOff>
              </from>
              <to>
                <xdr:col>7</xdr:col>
                <xdr:colOff>167640</xdr:colOff>
                <xdr:row>36</xdr:row>
                <xdr:rowOff>731520</xdr:rowOff>
              </to>
            </anchor>
          </objectPr>
        </oleObject>
      </mc:Choice>
      <mc:Fallback>
        <oleObject progId="封裝程式殼層物件" shapeId="67592" r:id="rId8"/>
      </mc:Fallback>
    </mc:AlternateContent>
  </oleObjec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42"/>
  <sheetViews>
    <sheetView showGridLines="0" topLeftCell="A28" zoomScale="90" zoomScaleNormal="90" workbookViewId="0">
      <selection activeCell="H50" sqref="H50"/>
    </sheetView>
  </sheetViews>
  <sheetFormatPr defaultColWidth="9" defaultRowHeight="16.2"/>
  <cols>
    <col min="1" max="1" width="5.44140625" style="3" bestFit="1" customWidth="1"/>
    <col min="2" max="2" width="15.6640625" style="3" bestFit="1" customWidth="1"/>
    <col min="3" max="3" width="19.33203125" style="3" bestFit="1" customWidth="1"/>
    <col min="4" max="4" width="13.88671875" style="3" bestFit="1" customWidth="1"/>
    <col min="5" max="5" width="10.44140625" style="3" bestFit="1" customWidth="1"/>
    <col min="6" max="6" width="14.44140625" style="3" bestFit="1" customWidth="1"/>
    <col min="7" max="7" width="10.21875" style="3" bestFit="1" customWidth="1"/>
    <col min="8" max="8" width="9" style="3" bestFit="1" customWidth="1"/>
    <col min="9" max="9" width="56.5546875" style="3" customWidth="1"/>
    <col min="10" max="10" width="56.33203125" style="3" bestFit="1" customWidth="1"/>
    <col min="11" max="14" width="9" style="3"/>
    <col min="15" max="15" width="12.6640625" style="3" bestFit="1" customWidth="1"/>
    <col min="16" max="16" width="14.33203125" style="3" bestFit="1" customWidth="1"/>
    <col min="17" max="16384" width="9" style="3"/>
  </cols>
  <sheetData>
    <row r="1" spans="1:10">
      <c r="A1" s="250"/>
      <c r="B1" s="250"/>
      <c r="C1" s="250"/>
    </row>
    <row r="2" spans="1:10">
      <c r="A2" s="250"/>
      <c r="B2" s="250"/>
      <c r="C2" s="250"/>
    </row>
    <row r="3" spans="1:10" ht="16.8" thickBot="1">
      <c r="A3" s="250"/>
      <c r="B3" s="250"/>
      <c r="C3" s="250"/>
    </row>
    <row r="4" spans="1:10" ht="16.2" customHeight="1">
      <c r="A4" s="90" t="s">
        <v>0</v>
      </c>
      <c r="B4" s="86" t="s">
        <v>42</v>
      </c>
      <c r="C4" s="251" t="s">
        <v>328</v>
      </c>
      <c r="D4" s="251"/>
      <c r="E4" s="251"/>
      <c r="F4" s="251"/>
      <c r="G4" s="251"/>
      <c r="H4" s="251"/>
      <c r="I4" s="251"/>
      <c r="J4" s="252"/>
    </row>
    <row r="5" spans="1:10">
      <c r="B5" s="87" t="s">
        <v>83</v>
      </c>
      <c r="C5" s="240" t="s">
        <v>261</v>
      </c>
      <c r="D5" s="240"/>
      <c r="E5" s="240"/>
      <c r="F5" s="240"/>
      <c r="G5" s="240"/>
      <c r="H5" s="240"/>
      <c r="I5" s="240"/>
      <c r="J5" s="241"/>
    </row>
    <row r="6" spans="1:10" ht="16.8" thickBot="1">
      <c r="A6" s="4"/>
      <c r="B6" s="88" t="s">
        <v>5</v>
      </c>
      <c r="C6" s="242" t="s">
        <v>258</v>
      </c>
      <c r="D6" s="242"/>
      <c r="E6" s="242"/>
      <c r="F6" s="242"/>
      <c r="G6" s="242"/>
      <c r="H6" s="242"/>
      <c r="I6" s="242"/>
      <c r="J6" s="243"/>
    </row>
    <row r="7" spans="1:10" ht="16.8" thickBot="1">
      <c r="A7" s="4"/>
      <c r="C7" s="84"/>
      <c r="D7" s="84"/>
      <c r="E7" s="84"/>
      <c r="F7" s="84"/>
      <c r="G7" s="84"/>
      <c r="H7" s="84"/>
      <c r="I7" s="84"/>
      <c r="J7" s="84"/>
    </row>
    <row r="8" spans="1:10">
      <c r="A8" s="4"/>
      <c r="B8" s="244" t="s">
        <v>102</v>
      </c>
      <c r="C8" s="91" t="s">
        <v>106</v>
      </c>
      <c r="D8" s="91" t="s">
        <v>103</v>
      </c>
      <c r="E8" s="91" t="s">
        <v>107</v>
      </c>
      <c r="F8" s="91" t="s">
        <v>104</v>
      </c>
      <c r="G8" s="91" t="s">
        <v>108</v>
      </c>
      <c r="H8" s="91" t="s">
        <v>105</v>
      </c>
      <c r="I8" s="91" t="s">
        <v>24</v>
      </c>
      <c r="J8" s="96" t="s">
        <v>2</v>
      </c>
    </row>
    <row r="9" spans="1:10">
      <c r="A9" s="4"/>
      <c r="B9" s="245"/>
      <c r="C9" s="28" t="s">
        <v>41</v>
      </c>
      <c r="D9" s="28" t="s">
        <v>72</v>
      </c>
      <c r="E9" s="28"/>
      <c r="F9" s="28"/>
      <c r="G9" s="28"/>
      <c r="H9" s="28"/>
      <c r="I9" s="28" t="s">
        <v>75</v>
      </c>
      <c r="J9" s="27" t="s">
        <v>27</v>
      </c>
    </row>
    <row r="10" spans="1:10">
      <c r="A10" s="4"/>
      <c r="B10" s="245"/>
      <c r="C10" s="28" t="s">
        <v>114</v>
      </c>
      <c r="D10" s="28" t="s">
        <v>72</v>
      </c>
      <c r="E10" s="28"/>
      <c r="F10" s="28"/>
      <c r="G10" s="28"/>
      <c r="H10" s="28"/>
      <c r="I10" s="28" t="s">
        <v>76</v>
      </c>
      <c r="J10" s="27" t="s">
        <v>28</v>
      </c>
    </row>
    <row r="11" spans="1:10">
      <c r="A11" s="4"/>
      <c r="B11" s="245"/>
      <c r="C11" s="28" t="s">
        <v>116</v>
      </c>
      <c r="D11" s="28" t="s">
        <v>72</v>
      </c>
      <c r="E11" s="28"/>
      <c r="F11" s="28"/>
      <c r="G11" s="28"/>
      <c r="H11" s="28"/>
      <c r="I11" s="28" t="s">
        <v>281</v>
      </c>
      <c r="J11" s="27" t="s">
        <v>260</v>
      </c>
    </row>
    <row r="12" spans="1:10" ht="93.6">
      <c r="A12" s="84"/>
      <c r="B12" s="245"/>
      <c r="C12" s="144" t="s">
        <v>128</v>
      </c>
      <c r="D12" s="95" t="s">
        <v>137</v>
      </c>
      <c r="E12" s="99"/>
      <c r="F12" s="98"/>
      <c r="G12" s="101"/>
      <c r="H12" s="28"/>
      <c r="I12" s="50" t="s">
        <v>45</v>
      </c>
      <c r="J12" s="47" t="s">
        <v>411</v>
      </c>
    </row>
    <row r="13" spans="1:10">
      <c r="B13" s="253"/>
      <c r="C13" s="104" t="s">
        <v>111</v>
      </c>
      <c r="D13" s="98" t="s">
        <v>72</v>
      </c>
      <c r="E13" s="105"/>
      <c r="F13" s="105"/>
      <c r="G13" s="105"/>
      <c r="H13" s="105"/>
      <c r="I13" s="28" t="s">
        <v>112</v>
      </c>
      <c r="J13" s="27" t="s">
        <v>113</v>
      </c>
    </row>
    <row r="14" spans="1:10">
      <c r="B14" s="253"/>
      <c r="C14" s="102" t="s">
        <v>134</v>
      </c>
      <c r="D14" s="98" t="s">
        <v>72</v>
      </c>
      <c r="E14" s="98"/>
      <c r="F14" s="98"/>
      <c r="G14" s="102"/>
      <c r="H14" s="98"/>
      <c r="I14" s="28" t="s">
        <v>233</v>
      </c>
      <c r="J14" s="97" t="s">
        <v>195</v>
      </c>
    </row>
    <row r="15" spans="1:10">
      <c r="B15" s="253"/>
      <c r="C15" s="102" t="s">
        <v>196</v>
      </c>
      <c r="D15" s="98" t="s">
        <v>97</v>
      </c>
      <c r="E15" s="98"/>
      <c r="F15" s="98"/>
      <c r="G15" s="102"/>
      <c r="H15" s="98"/>
      <c r="I15" s="28"/>
      <c r="J15" s="27" t="s">
        <v>193</v>
      </c>
    </row>
    <row r="16" spans="1:10">
      <c r="B16" s="253"/>
      <c r="C16" s="98"/>
      <c r="D16" s="98"/>
      <c r="E16" s="103" t="s">
        <v>135</v>
      </c>
      <c r="F16" s="100" t="s">
        <v>72</v>
      </c>
      <c r="G16" s="98"/>
      <c r="H16" s="98"/>
      <c r="I16" s="95" t="s">
        <v>288</v>
      </c>
      <c r="J16" s="27" t="s">
        <v>409</v>
      </c>
    </row>
    <row r="17" spans="1:10" ht="46.8">
      <c r="B17" s="253"/>
      <c r="C17" s="98"/>
      <c r="D17" s="98"/>
      <c r="E17" s="103" t="s">
        <v>136</v>
      </c>
      <c r="F17" s="100" t="s">
        <v>160</v>
      </c>
      <c r="G17" s="98"/>
      <c r="H17" s="98"/>
      <c r="I17" s="95" t="s">
        <v>412</v>
      </c>
      <c r="J17" s="27" t="s">
        <v>408</v>
      </c>
    </row>
    <row r="18" spans="1:10">
      <c r="A18" s="84"/>
      <c r="B18" s="253"/>
      <c r="C18" s="102" t="s">
        <v>197</v>
      </c>
      <c r="D18" s="98" t="s">
        <v>97</v>
      </c>
      <c r="E18" s="98"/>
      <c r="F18" s="98"/>
      <c r="G18" s="102"/>
      <c r="H18" s="98"/>
      <c r="I18" s="28"/>
      <c r="J18" s="27" t="s">
        <v>194</v>
      </c>
    </row>
    <row r="19" spans="1:10">
      <c r="A19" s="84"/>
      <c r="B19" s="253"/>
      <c r="C19" s="98"/>
      <c r="D19" s="98"/>
      <c r="E19" s="103" t="s">
        <v>135</v>
      </c>
      <c r="F19" s="100" t="s">
        <v>72</v>
      </c>
      <c r="G19" s="98"/>
      <c r="H19" s="98"/>
      <c r="I19" s="95" t="s">
        <v>288</v>
      </c>
      <c r="J19" s="27" t="s">
        <v>409</v>
      </c>
    </row>
    <row r="20" spans="1:10" ht="46.8">
      <c r="A20" s="84"/>
      <c r="B20" s="253"/>
      <c r="C20" s="98"/>
      <c r="D20" s="98"/>
      <c r="E20" s="103" t="s">
        <v>136</v>
      </c>
      <c r="F20" s="100" t="s">
        <v>160</v>
      </c>
      <c r="G20" s="98"/>
      <c r="H20" s="98"/>
      <c r="I20" s="95" t="s">
        <v>413</v>
      </c>
      <c r="J20" s="27" t="s">
        <v>408</v>
      </c>
    </row>
    <row r="21" spans="1:10">
      <c r="A21" s="84"/>
      <c r="B21" s="253"/>
      <c r="C21" s="105" t="s">
        <v>198</v>
      </c>
      <c r="D21" s="100" t="s">
        <v>72</v>
      </c>
      <c r="E21" s="114"/>
      <c r="F21" s="105"/>
      <c r="G21" s="105"/>
      <c r="H21" s="105"/>
      <c r="I21" s="104" t="s">
        <v>76</v>
      </c>
      <c r="J21" s="27" t="s">
        <v>201</v>
      </c>
    </row>
    <row r="22" spans="1:10">
      <c r="A22" s="84"/>
      <c r="B22" s="253"/>
      <c r="C22" s="105" t="s">
        <v>199</v>
      </c>
      <c r="D22" s="100" t="s">
        <v>72</v>
      </c>
      <c r="E22" s="114"/>
      <c r="F22" s="100"/>
      <c r="G22" s="98"/>
      <c r="H22" s="98"/>
      <c r="I22" s="104" t="s">
        <v>76</v>
      </c>
      <c r="J22" s="27" t="s">
        <v>201</v>
      </c>
    </row>
    <row r="23" spans="1:10">
      <c r="B23" s="253"/>
      <c r="C23" s="98" t="s">
        <v>200</v>
      </c>
      <c r="D23" s="100" t="s">
        <v>72</v>
      </c>
      <c r="E23" s="114"/>
      <c r="F23" s="100"/>
      <c r="G23" s="98"/>
      <c r="H23" s="98"/>
      <c r="I23" s="104" t="s">
        <v>76</v>
      </c>
      <c r="J23" s="27" t="s">
        <v>201</v>
      </c>
    </row>
    <row r="24" spans="1:10">
      <c r="B24" s="253"/>
      <c r="C24" s="105"/>
      <c r="D24" s="115"/>
      <c r="E24" s="114"/>
      <c r="F24" s="115"/>
      <c r="G24" s="105"/>
      <c r="H24" s="105"/>
      <c r="I24" s="104"/>
      <c r="J24" s="106"/>
    </row>
    <row r="25" spans="1:10" ht="16.8" thickBot="1">
      <c r="B25" s="246"/>
      <c r="C25" s="30"/>
      <c r="D25" s="30"/>
      <c r="E25" s="30"/>
      <c r="F25" s="30"/>
      <c r="G25" s="30"/>
      <c r="H25" s="30"/>
      <c r="I25" s="30"/>
      <c r="J25" s="29"/>
    </row>
    <row r="26" spans="1:10">
      <c r="B26" s="85"/>
      <c r="C26" s="83"/>
      <c r="D26" s="83"/>
      <c r="E26" s="83"/>
      <c r="F26" s="83"/>
      <c r="G26" s="83"/>
      <c r="H26" s="83"/>
      <c r="I26" s="83"/>
      <c r="J26" s="83"/>
    </row>
    <row r="27" spans="1:10" ht="16.8" thickBot="1"/>
    <row r="28" spans="1:10" ht="16.2" customHeight="1">
      <c r="B28" s="86" t="s">
        <v>42</v>
      </c>
      <c r="C28" s="251" t="s">
        <v>329</v>
      </c>
      <c r="D28" s="251"/>
      <c r="E28" s="251"/>
      <c r="F28" s="251"/>
      <c r="G28" s="251"/>
      <c r="H28" s="251"/>
      <c r="I28" s="251"/>
      <c r="J28" s="252"/>
    </row>
    <row r="29" spans="1:10">
      <c r="B29" s="87" t="s">
        <v>83</v>
      </c>
      <c r="C29" s="240" t="s">
        <v>259</v>
      </c>
      <c r="D29" s="240"/>
      <c r="E29" s="240"/>
      <c r="F29" s="240"/>
      <c r="G29" s="240"/>
      <c r="H29" s="240"/>
      <c r="I29" s="240"/>
      <c r="J29" s="241"/>
    </row>
    <row r="30" spans="1:10" ht="16.8" thickBot="1">
      <c r="B30" s="88" t="s">
        <v>5</v>
      </c>
      <c r="C30" s="242" t="s">
        <v>266</v>
      </c>
      <c r="D30" s="242"/>
      <c r="E30" s="242"/>
      <c r="F30" s="242"/>
      <c r="G30" s="242"/>
      <c r="H30" s="242"/>
      <c r="I30" s="242"/>
      <c r="J30" s="243"/>
    </row>
    <row r="31" spans="1:10" ht="16.8" thickBot="1">
      <c r="C31" s="84"/>
      <c r="D31" s="84"/>
      <c r="E31" s="84"/>
      <c r="F31" s="84"/>
      <c r="G31" s="84"/>
      <c r="H31" s="84"/>
      <c r="I31" s="84"/>
      <c r="J31" s="84"/>
    </row>
    <row r="32" spans="1:10">
      <c r="B32" s="244" t="s">
        <v>102</v>
      </c>
      <c r="C32" s="91" t="s">
        <v>106</v>
      </c>
      <c r="D32" s="91" t="s">
        <v>103</v>
      </c>
      <c r="E32" s="91" t="s">
        <v>107</v>
      </c>
      <c r="F32" s="91" t="s">
        <v>104</v>
      </c>
      <c r="G32" s="91" t="s">
        <v>108</v>
      </c>
      <c r="H32" s="91" t="s">
        <v>105</v>
      </c>
      <c r="I32" s="91" t="s">
        <v>24</v>
      </c>
      <c r="J32" s="96" t="s">
        <v>2</v>
      </c>
    </row>
    <row r="33" spans="2:10">
      <c r="B33" s="245"/>
      <c r="C33" s="28" t="s">
        <v>41</v>
      </c>
      <c r="D33" s="28" t="s">
        <v>72</v>
      </c>
      <c r="E33" s="28"/>
      <c r="F33" s="28"/>
      <c r="G33" s="28"/>
      <c r="H33" s="28"/>
      <c r="I33" s="28" t="s">
        <v>75</v>
      </c>
      <c r="J33" s="27" t="s">
        <v>27</v>
      </c>
    </row>
    <row r="34" spans="2:10">
      <c r="B34" s="245"/>
      <c r="C34" s="28" t="s">
        <v>114</v>
      </c>
      <c r="D34" s="28" t="s">
        <v>72</v>
      </c>
      <c r="E34" s="28"/>
      <c r="F34" s="28"/>
      <c r="G34" s="28"/>
      <c r="H34" s="28"/>
      <c r="I34" s="28" t="s">
        <v>76</v>
      </c>
      <c r="J34" s="27" t="s">
        <v>28</v>
      </c>
    </row>
    <row r="35" spans="2:10">
      <c r="B35" s="245"/>
      <c r="C35" s="31" t="s">
        <v>116</v>
      </c>
      <c r="D35" s="28" t="s">
        <v>72</v>
      </c>
      <c r="E35" s="28"/>
      <c r="F35" s="28"/>
      <c r="G35" s="28"/>
      <c r="H35" s="28"/>
      <c r="I35" s="28" t="s">
        <v>281</v>
      </c>
      <c r="J35" s="27" t="s">
        <v>260</v>
      </c>
    </row>
    <row r="36" spans="2:10">
      <c r="B36" s="245"/>
      <c r="C36" s="101" t="s">
        <v>128</v>
      </c>
      <c r="D36" s="95" t="s">
        <v>137</v>
      </c>
      <c r="E36" s="98"/>
      <c r="F36" s="98"/>
      <c r="G36" s="98"/>
      <c r="H36" s="98"/>
      <c r="I36" s="50" t="s">
        <v>147</v>
      </c>
      <c r="J36" s="47" t="s">
        <v>414</v>
      </c>
    </row>
    <row r="37" spans="2:10">
      <c r="B37" s="245"/>
      <c r="C37" s="28" t="s">
        <v>155</v>
      </c>
      <c r="D37" s="98" t="s">
        <v>72</v>
      </c>
      <c r="E37" s="28"/>
      <c r="F37" s="28"/>
      <c r="G37" s="28"/>
      <c r="H37" s="28"/>
      <c r="I37" s="28" t="s">
        <v>100</v>
      </c>
      <c r="J37" s="27" t="s">
        <v>156</v>
      </c>
    </row>
    <row r="38" spans="2:10">
      <c r="B38" s="253"/>
      <c r="C38" s="104"/>
      <c r="D38" s="105"/>
      <c r="E38" s="104"/>
      <c r="F38" s="104"/>
      <c r="G38" s="104"/>
      <c r="H38" s="104"/>
      <c r="I38" s="104"/>
      <c r="J38" s="106"/>
    </row>
    <row r="39" spans="2:10" ht="16.8" thickBot="1">
      <c r="B39" s="246"/>
      <c r="C39" s="30"/>
      <c r="D39" s="30"/>
      <c r="E39" s="30"/>
      <c r="F39" s="30"/>
      <c r="G39" s="30"/>
      <c r="H39" s="30"/>
      <c r="I39" s="30"/>
      <c r="J39" s="29"/>
    </row>
    <row r="40" spans="2:10">
      <c r="B40" s="85"/>
      <c r="C40" s="83"/>
      <c r="D40" s="83"/>
      <c r="E40" s="83"/>
      <c r="F40" s="83"/>
      <c r="G40" s="83"/>
      <c r="H40" s="83"/>
      <c r="I40" s="83"/>
      <c r="J40" s="83"/>
    </row>
    <row r="41" spans="2:10" ht="66.599999999999994" customHeight="1">
      <c r="B41" s="89" t="s">
        <v>74</v>
      </c>
      <c r="C41" s="247"/>
      <c r="D41" s="248"/>
      <c r="E41" s="248"/>
      <c r="F41" s="248"/>
      <c r="G41" s="248"/>
      <c r="H41" s="248"/>
      <c r="I41" s="248"/>
      <c r="J41" s="249"/>
    </row>
    <row r="42" spans="2:10">
      <c r="B42" s="85"/>
      <c r="C42" s="83"/>
      <c r="D42" s="83"/>
      <c r="E42" s="83"/>
      <c r="F42" s="83"/>
      <c r="G42" s="83"/>
      <c r="H42" s="83"/>
      <c r="I42" s="83"/>
      <c r="J42" s="83"/>
    </row>
  </sheetData>
  <mergeCells count="10">
    <mergeCell ref="C29:J29"/>
    <mergeCell ref="C30:J30"/>
    <mergeCell ref="B32:B39"/>
    <mergeCell ref="C41:J41"/>
    <mergeCell ref="A1:C3"/>
    <mergeCell ref="C4:J4"/>
    <mergeCell ref="C5:J5"/>
    <mergeCell ref="C6:J6"/>
    <mergeCell ref="B8:B25"/>
    <mergeCell ref="C28:J28"/>
  </mergeCells>
  <phoneticPr fontId="1" type="noConversion"/>
  <conditionalFormatting sqref="C32:H32">
    <cfRule type="duplicateValues" dxfId="11" priority="36"/>
  </conditionalFormatting>
  <conditionalFormatting sqref="C8:H8">
    <cfRule type="duplicateValues" dxfId="10" priority="37"/>
  </conditionalFormatting>
  <hyperlinks>
    <hyperlink ref="A4" location="List!A1" display="LIST" xr:uid="{00000000-0004-0000-1700-000000000000}"/>
  </hyperlink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封裝程式殼層物件" shapeId="119817" r:id="rId4">
          <objectPr defaultSize="0" r:id="rId5">
            <anchor moveWithCells="1">
              <from>
                <xdr:col>2</xdr:col>
                <xdr:colOff>441960</xdr:colOff>
                <xdr:row>40</xdr:row>
                <xdr:rowOff>198120</xdr:rowOff>
              </from>
              <to>
                <xdr:col>3</xdr:col>
                <xdr:colOff>541020</xdr:colOff>
                <xdr:row>40</xdr:row>
                <xdr:rowOff>716280</xdr:rowOff>
              </to>
            </anchor>
          </objectPr>
        </oleObject>
      </mc:Choice>
      <mc:Fallback>
        <oleObject progId="封裝程式殼層物件" shapeId="119817" r:id="rId4"/>
      </mc:Fallback>
    </mc:AlternateContent>
    <mc:AlternateContent xmlns:mc="http://schemas.openxmlformats.org/markup-compatibility/2006">
      <mc:Choice Requires="x14">
        <oleObject progId="封裝程式殼層物件" shapeId="119818" r:id="rId6">
          <objectPr defaultSize="0" r:id="rId7">
            <anchor moveWithCells="1">
              <from>
                <xdr:col>3</xdr:col>
                <xdr:colOff>678180</xdr:colOff>
                <xdr:row>40</xdr:row>
                <xdr:rowOff>213360</xdr:rowOff>
              </from>
              <to>
                <xdr:col>5</xdr:col>
                <xdr:colOff>792480</xdr:colOff>
                <xdr:row>40</xdr:row>
                <xdr:rowOff>723900</xdr:rowOff>
              </to>
            </anchor>
          </objectPr>
        </oleObject>
      </mc:Choice>
      <mc:Fallback>
        <oleObject progId="封裝程式殼層物件" shapeId="119818" r:id="rId6"/>
      </mc:Fallback>
    </mc:AlternateContent>
  </oleObjec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40"/>
  <sheetViews>
    <sheetView showGridLines="0" topLeftCell="A22" zoomScale="90" zoomScaleNormal="90" workbookViewId="0">
      <selection activeCell="H46" sqref="H46"/>
    </sheetView>
  </sheetViews>
  <sheetFormatPr defaultColWidth="9" defaultRowHeight="16.2"/>
  <cols>
    <col min="1" max="1" width="9" style="3"/>
    <col min="2" max="2" width="18.77734375" style="3" customWidth="1"/>
    <col min="3" max="3" width="24" style="3" customWidth="1"/>
    <col min="4" max="4" width="14.21875" style="3" bestFit="1" customWidth="1"/>
    <col min="5" max="5" width="10.44140625" style="3" bestFit="1" customWidth="1"/>
    <col min="6" max="6" width="14.44140625" style="3" customWidth="1"/>
    <col min="7" max="7" width="10.109375" style="3" bestFit="1" customWidth="1"/>
    <col min="8" max="8" width="14.21875" style="3" bestFit="1" customWidth="1"/>
    <col min="9" max="9" width="50.5546875" style="3" customWidth="1"/>
    <col min="10" max="10" width="60.21875" style="3" customWidth="1"/>
    <col min="11" max="16384" width="9" style="3"/>
  </cols>
  <sheetData>
    <row r="1" spans="1:10">
      <c r="A1" s="250"/>
      <c r="B1" s="250"/>
      <c r="C1" s="250"/>
    </row>
    <row r="2" spans="1:10">
      <c r="A2" s="250"/>
      <c r="B2" s="250"/>
      <c r="C2" s="250"/>
    </row>
    <row r="3" spans="1:10" ht="16.8" thickBot="1">
      <c r="A3" s="250"/>
      <c r="B3" s="250"/>
      <c r="C3" s="250"/>
    </row>
    <row r="4" spans="1:10" ht="16.2" customHeight="1">
      <c r="A4" s="90" t="s">
        <v>0</v>
      </c>
      <c r="B4" s="86" t="s">
        <v>42</v>
      </c>
      <c r="C4" s="251" t="s">
        <v>330</v>
      </c>
      <c r="D4" s="251"/>
      <c r="E4" s="251"/>
      <c r="F4" s="251"/>
      <c r="G4" s="251"/>
      <c r="H4" s="251"/>
      <c r="I4" s="251"/>
      <c r="J4" s="252"/>
    </row>
    <row r="5" spans="1:10">
      <c r="B5" s="87" t="s">
        <v>83</v>
      </c>
      <c r="C5" s="240" t="s">
        <v>264</v>
      </c>
      <c r="D5" s="240"/>
      <c r="E5" s="240"/>
      <c r="F5" s="240"/>
      <c r="G5" s="240"/>
      <c r="H5" s="240"/>
      <c r="I5" s="240"/>
      <c r="J5" s="241"/>
    </row>
    <row r="6" spans="1:10" ht="16.5" customHeight="1" thickBot="1">
      <c r="A6" s="4"/>
      <c r="B6" s="88" t="s">
        <v>5</v>
      </c>
      <c r="C6" s="242" t="s">
        <v>158</v>
      </c>
      <c r="D6" s="242"/>
      <c r="E6" s="242"/>
      <c r="F6" s="242"/>
      <c r="G6" s="242"/>
      <c r="H6" s="242"/>
      <c r="I6" s="242"/>
      <c r="J6" s="243"/>
    </row>
    <row r="7" spans="1:10" ht="6.6" customHeight="1" thickBot="1">
      <c r="A7" s="4"/>
      <c r="C7" s="84"/>
      <c r="D7" s="84"/>
      <c r="E7" s="84"/>
      <c r="F7" s="84"/>
      <c r="G7" s="84"/>
      <c r="H7" s="84"/>
      <c r="I7" s="84"/>
      <c r="J7" s="84"/>
    </row>
    <row r="8" spans="1:10" ht="16.5" customHeight="1">
      <c r="A8" s="4"/>
      <c r="B8" s="244" t="s">
        <v>102</v>
      </c>
      <c r="C8" s="91" t="s">
        <v>106</v>
      </c>
      <c r="D8" s="91" t="s">
        <v>103</v>
      </c>
      <c r="E8" s="91" t="s">
        <v>107</v>
      </c>
      <c r="F8" s="91" t="s">
        <v>104</v>
      </c>
      <c r="G8" s="91" t="s">
        <v>108</v>
      </c>
      <c r="H8" s="91" t="s">
        <v>105</v>
      </c>
      <c r="I8" s="91" t="s">
        <v>24</v>
      </c>
      <c r="J8" s="96" t="s">
        <v>2</v>
      </c>
    </row>
    <row r="9" spans="1:10">
      <c r="A9" s="4"/>
      <c r="B9" s="245"/>
      <c r="C9" s="28" t="s">
        <v>41</v>
      </c>
      <c r="D9" s="28" t="s">
        <v>72</v>
      </c>
      <c r="E9" s="28"/>
      <c r="F9" s="28"/>
      <c r="G9" s="28"/>
      <c r="H9" s="28"/>
      <c r="I9" s="28" t="s">
        <v>75</v>
      </c>
      <c r="J9" s="27" t="s">
        <v>27</v>
      </c>
    </row>
    <row r="10" spans="1:10">
      <c r="A10" s="4"/>
      <c r="B10" s="245"/>
      <c r="C10" s="28" t="s">
        <v>114</v>
      </c>
      <c r="D10" s="28" t="s">
        <v>72</v>
      </c>
      <c r="E10" s="28"/>
      <c r="F10" s="28"/>
      <c r="G10" s="28"/>
      <c r="H10" s="28"/>
      <c r="I10" s="28" t="s">
        <v>76</v>
      </c>
      <c r="J10" s="27" t="s">
        <v>28</v>
      </c>
    </row>
    <row r="11" spans="1:10">
      <c r="A11" s="4"/>
      <c r="B11" s="245"/>
      <c r="C11" s="28" t="s">
        <v>116</v>
      </c>
      <c r="D11" s="28" t="s">
        <v>72</v>
      </c>
      <c r="E11" s="28"/>
      <c r="F11" s="28"/>
      <c r="G11" s="28"/>
      <c r="H11" s="28"/>
      <c r="I11" s="28" t="s">
        <v>281</v>
      </c>
      <c r="J11" s="27" t="s">
        <v>260</v>
      </c>
    </row>
    <row r="12" spans="1:10">
      <c r="A12" s="84"/>
      <c r="B12" s="245"/>
      <c r="C12" s="99" t="s">
        <v>127</v>
      </c>
      <c r="D12" s="28" t="s">
        <v>72</v>
      </c>
      <c r="E12" s="99"/>
      <c r="F12" s="98"/>
      <c r="G12" s="99"/>
      <c r="H12" s="28"/>
      <c r="I12" s="28" t="s">
        <v>232</v>
      </c>
      <c r="J12" s="27" t="s">
        <v>407</v>
      </c>
    </row>
    <row r="13" spans="1:10" ht="93.6">
      <c r="A13" s="84"/>
      <c r="B13" s="245"/>
      <c r="C13" s="101" t="s">
        <v>128</v>
      </c>
      <c r="D13" s="28" t="s">
        <v>137</v>
      </c>
      <c r="E13" s="99"/>
      <c r="F13" s="98"/>
      <c r="G13" s="101"/>
      <c r="H13" s="28"/>
      <c r="I13" s="50" t="s">
        <v>45</v>
      </c>
      <c r="J13" s="47" t="s">
        <v>415</v>
      </c>
    </row>
    <row r="14" spans="1:10">
      <c r="B14" s="245"/>
      <c r="C14" s="104" t="s">
        <v>111</v>
      </c>
      <c r="D14" s="98" t="s">
        <v>72</v>
      </c>
      <c r="E14" s="105"/>
      <c r="F14" s="105"/>
      <c r="G14" s="105"/>
      <c r="H14" s="105"/>
      <c r="I14" s="28" t="s">
        <v>112</v>
      </c>
      <c r="J14" s="27" t="s">
        <v>113</v>
      </c>
    </row>
    <row r="15" spans="1:10" ht="16.2" customHeight="1">
      <c r="A15" s="84"/>
      <c r="B15" s="245"/>
      <c r="C15" s="102" t="s">
        <v>134</v>
      </c>
      <c r="D15" s="98" t="s">
        <v>72</v>
      </c>
      <c r="E15" s="99"/>
      <c r="F15" s="98"/>
      <c r="G15" s="102"/>
      <c r="H15" s="98"/>
      <c r="I15" s="28" t="s">
        <v>161</v>
      </c>
      <c r="J15" s="97" t="s">
        <v>99</v>
      </c>
    </row>
    <row r="16" spans="1:10" ht="109.2">
      <c r="B16" s="253"/>
      <c r="C16" s="104" t="s">
        <v>202</v>
      </c>
      <c r="D16" s="98" t="s">
        <v>72</v>
      </c>
      <c r="E16" s="105"/>
      <c r="F16" s="105"/>
      <c r="G16" s="105"/>
      <c r="H16" s="105"/>
      <c r="I16" s="104" t="s">
        <v>203</v>
      </c>
      <c r="J16" s="106" t="s">
        <v>416</v>
      </c>
    </row>
    <row r="17" spans="1:10">
      <c r="B17" s="253"/>
      <c r="C17" s="104" t="s">
        <v>207</v>
      </c>
      <c r="D17" s="98" t="s">
        <v>82</v>
      </c>
      <c r="E17" s="105"/>
      <c r="F17" s="105"/>
      <c r="G17" s="105"/>
      <c r="H17" s="105"/>
      <c r="I17" s="28" t="s">
        <v>77</v>
      </c>
      <c r="J17" s="109" t="s">
        <v>208</v>
      </c>
    </row>
    <row r="18" spans="1:10" ht="62.4">
      <c r="B18" s="253"/>
      <c r="C18" s="104" t="s">
        <v>204</v>
      </c>
      <c r="D18" s="98" t="s">
        <v>72</v>
      </c>
      <c r="E18" s="105"/>
      <c r="F18" s="105"/>
      <c r="G18" s="105"/>
      <c r="H18" s="105"/>
      <c r="I18" s="104" t="s">
        <v>76</v>
      </c>
      <c r="J18" s="106" t="s">
        <v>442</v>
      </c>
    </row>
    <row r="19" spans="1:10">
      <c r="B19" s="253"/>
      <c r="C19" s="104" t="s">
        <v>209</v>
      </c>
      <c r="D19" s="98" t="s">
        <v>91</v>
      </c>
      <c r="E19" s="105"/>
      <c r="F19" s="105"/>
      <c r="G19" s="105"/>
      <c r="H19" s="105"/>
      <c r="I19" s="104" t="s">
        <v>162</v>
      </c>
      <c r="J19" s="106" t="s">
        <v>210</v>
      </c>
    </row>
    <row r="20" spans="1:10">
      <c r="A20" s="84"/>
      <c r="B20" s="253"/>
      <c r="C20" s="105" t="s">
        <v>212</v>
      </c>
      <c r="D20" s="100" t="s">
        <v>72</v>
      </c>
      <c r="E20" s="114"/>
      <c r="F20" s="105"/>
      <c r="G20" s="105"/>
      <c r="H20" s="105"/>
      <c r="I20" s="104" t="s">
        <v>76</v>
      </c>
      <c r="J20" s="27" t="s">
        <v>211</v>
      </c>
    </row>
    <row r="21" spans="1:10">
      <c r="A21" s="84"/>
      <c r="B21" s="253"/>
      <c r="C21" s="105" t="s">
        <v>213</v>
      </c>
      <c r="D21" s="100" t="s">
        <v>72</v>
      </c>
      <c r="E21" s="114"/>
      <c r="F21" s="100"/>
      <c r="G21" s="98"/>
      <c r="H21" s="98"/>
      <c r="I21" s="104" t="s">
        <v>76</v>
      </c>
      <c r="J21" s="27" t="s">
        <v>211</v>
      </c>
    </row>
    <row r="22" spans="1:10">
      <c r="B22" s="253"/>
      <c r="C22" s="98" t="s">
        <v>214</v>
      </c>
      <c r="D22" s="100" t="s">
        <v>72</v>
      </c>
      <c r="E22" s="114"/>
      <c r="F22" s="100"/>
      <c r="G22" s="98"/>
      <c r="H22" s="98"/>
      <c r="I22" s="104" t="s">
        <v>76</v>
      </c>
      <c r="J22" s="27" t="s">
        <v>211</v>
      </c>
    </row>
    <row r="23" spans="1:10">
      <c r="B23" s="253"/>
      <c r="C23" s="104"/>
      <c r="D23" s="105"/>
      <c r="E23" s="105"/>
      <c r="F23" s="105"/>
      <c r="G23" s="105"/>
      <c r="H23" s="105"/>
      <c r="I23" s="104"/>
      <c r="J23" s="106"/>
    </row>
    <row r="24" spans="1:10" ht="16.8" thickBot="1">
      <c r="B24" s="246"/>
      <c r="C24" s="30"/>
      <c r="D24" s="30"/>
      <c r="E24" s="30"/>
      <c r="F24" s="30"/>
      <c r="G24" s="30"/>
      <c r="H24" s="30"/>
      <c r="I24" s="30"/>
      <c r="J24" s="29"/>
    </row>
    <row r="25" spans="1:10">
      <c r="B25" s="85"/>
      <c r="C25" s="83"/>
      <c r="D25" s="83"/>
      <c r="E25" s="83"/>
      <c r="F25" s="83"/>
      <c r="G25" s="83"/>
      <c r="H25" s="83"/>
      <c r="I25" s="83"/>
      <c r="J25" s="83"/>
    </row>
    <row r="26" spans="1:10" ht="16.8" thickBot="1"/>
    <row r="27" spans="1:10" ht="16.2" customHeight="1">
      <c r="B27" s="86" t="s">
        <v>42</v>
      </c>
      <c r="C27" s="251" t="s">
        <v>331</v>
      </c>
      <c r="D27" s="251"/>
      <c r="E27" s="251"/>
      <c r="F27" s="251"/>
      <c r="G27" s="251"/>
      <c r="H27" s="251"/>
      <c r="I27" s="251"/>
      <c r="J27" s="252"/>
    </row>
    <row r="28" spans="1:10">
      <c r="B28" s="87" t="s">
        <v>83</v>
      </c>
      <c r="C28" s="240" t="s">
        <v>263</v>
      </c>
      <c r="D28" s="240"/>
      <c r="E28" s="240"/>
      <c r="F28" s="240"/>
      <c r="G28" s="240"/>
      <c r="H28" s="240"/>
      <c r="I28" s="240"/>
      <c r="J28" s="241"/>
    </row>
    <row r="29" spans="1:10" ht="16.8" thickBot="1">
      <c r="B29" s="88" t="s">
        <v>5</v>
      </c>
      <c r="C29" s="242" t="s">
        <v>157</v>
      </c>
      <c r="D29" s="242"/>
      <c r="E29" s="242"/>
      <c r="F29" s="242"/>
      <c r="G29" s="242"/>
      <c r="H29" s="242"/>
      <c r="I29" s="242"/>
      <c r="J29" s="243"/>
    </row>
    <row r="30" spans="1:10" ht="16.8" thickBot="1">
      <c r="C30" s="84"/>
      <c r="D30" s="84"/>
      <c r="E30" s="84"/>
      <c r="F30" s="84"/>
      <c r="G30" s="84"/>
      <c r="H30" s="84"/>
      <c r="I30" s="84"/>
      <c r="J30" s="84"/>
    </row>
    <row r="31" spans="1:10">
      <c r="B31" s="244" t="s">
        <v>102</v>
      </c>
      <c r="C31" s="91" t="s">
        <v>106</v>
      </c>
      <c r="D31" s="91" t="s">
        <v>103</v>
      </c>
      <c r="E31" s="91" t="s">
        <v>107</v>
      </c>
      <c r="F31" s="91" t="s">
        <v>104</v>
      </c>
      <c r="G31" s="91" t="s">
        <v>108</v>
      </c>
      <c r="H31" s="91" t="s">
        <v>105</v>
      </c>
      <c r="I31" s="91" t="s">
        <v>24</v>
      </c>
      <c r="J31" s="96" t="s">
        <v>2</v>
      </c>
    </row>
    <row r="32" spans="1:10">
      <c r="B32" s="245"/>
      <c r="C32" s="28" t="s">
        <v>41</v>
      </c>
      <c r="D32" s="28" t="s">
        <v>72</v>
      </c>
      <c r="E32" s="28"/>
      <c r="F32" s="28"/>
      <c r="G32" s="28"/>
      <c r="H32" s="28"/>
      <c r="I32" s="28" t="s">
        <v>75</v>
      </c>
      <c r="J32" s="27" t="s">
        <v>27</v>
      </c>
    </row>
    <row r="33" spans="2:10">
      <c r="B33" s="245"/>
      <c r="C33" s="28" t="s">
        <v>114</v>
      </c>
      <c r="D33" s="28" t="s">
        <v>72</v>
      </c>
      <c r="E33" s="28"/>
      <c r="F33" s="28"/>
      <c r="G33" s="28"/>
      <c r="H33" s="28"/>
      <c r="I33" s="28" t="s">
        <v>76</v>
      </c>
      <c r="J33" s="27" t="s">
        <v>28</v>
      </c>
    </row>
    <row r="34" spans="2:10">
      <c r="B34" s="245"/>
      <c r="C34" s="31" t="s">
        <v>116</v>
      </c>
      <c r="D34" s="28" t="s">
        <v>72</v>
      </c>
      <c r="E34" s="28"/>
      <c r="F34" s="28"/>
      <c r="G34" s="28"/>
      <c r="H34" s="28"/>
      <c r="I34" s="28" t="s">
        <v>281</v>
      </c>
      <c r="J34" s="27" t="s">
        <v>260</v>
      </c>
    </row>
    <row r="35" spans="2:10">
      <c r="B35" s="245"/>
      <c r="C35" s="101" t="s">
        <v>128</v>
      </c>
      <c r="D35" s="95" t="s">
        <v>137</v>
      </c>
      <c r="E35" s="98"/>
      <c r="F35" s="98"/>
      <c r="G35" s="98"/>
      <c r="H35" s="98"/>
      <c r="I35" s="50" t="s">
        <v>147</v>
      </c>
      <c r="J35" s="47"/>
    </row>
    <row r="36" spans="2:10">
      <c r="B36" s="245"/>
      <c r="C36" s="28"/>
      <c r="D36" s="28"/>
      <c r="E36" s="28"/>
      <c r="F36" s="28"/>
      <c r="G36" s="28"/>
      <c r="H36" s="28"/>
      <c r="I36" s="28"/>
      <c r="J36" s="27"/>
    </row>
    <row r="37" spans="2:10" ht="16.8" thickBot="1">
      <c r="B37" s="246"/>
      <c r="C37" s="30"/>
      <c r="D37" s="30"/>
      <c r="E37" s="30"/>
      <c r="F37" s="30"/>
      <c r="G37" s="30"/>
      <c r="H37" s="30"/>
      <c r="I37" s="30"/>
      <c r="J37" s="29"/>
    </row>
    <row r="38" spans="2:10">
      <c r="B38" s="85"/>
      <c r="C38" s="83"/>
      <c r="D38" s="83"/>
      <c r="E38" s="83"/>
      <c r="F38" s="83"/>
      <c r="G38" s="83"/>
      <c r="H38" s="83"/>
      <c r="I38" s="83"/>
      <c r="J38" s="83"/>
    </row>
    <row r="39" spans="2:10" ht="57" customHeight="1">
      <c r="B39" s="89" t="s">
        <v>74</v>
      </c>
      <c r="C39" s="247"/>
      <c r="D39" s="248"/>
      <c r="E39" s="248"/>
      <c r="F39" s="248"/>
      <c r="G39" s="248"/>
      <c r="H39" s="248"/>
      <c r="I39" s="248"/>
      <c r="J39" s="249"/>
    </row>
    <row r="40" spans="2:10">
      <c r="B40" s="85"/>
      <c r="C40" s="83"/>
      <c r="D40" s="83"/>
      <c r="E40" s="83"/>
      <c r="F40" s="83"/>
      <c r="G40" s="83"/>
      <c r="H40" s="83"/>
      <c r="I40" s="83"/>
      <c r="J40" s="83"/>
    </row>
  </sheetData>
  <mergeCells count="10">
    <mergeCell ref="C28:J28"/>
    <mergeCell ref="C29:J29"/>
    <mergeCell ref="B31:B37"/>
    <mergeCell ref="C39:J39"/>
    <mergeCell ref="A1:C3"/>
    <mergeCell ref="C4:J4"/>
    <mergeCell ref="C5:J5"/>
    <mergeCell ref="C6:J6"/>
    <mergeCell ref="B8:B24"/>
    <mergeCell ref="C27:J27"/>
  </mergeCells>
  <phoneticPr fontId="1" type="noConversion"/>
  <conditionalFormatting sqref="C31:H31">
    <cfRule type="duplicateValues" dxfId="9" priority="34"/>
  </conditionalFormatting>
  <conditionalFormatting sqref="C8:H8">
    <cfRule type="duplicateValues" dxfId="8" priority="35"/>
  </conditionalFormatting>
  <hyperlinks>
    <hyperlink ref="A4" location="List!A1" display="LIST" xr:uid="{00000000-0004-0000-1800-000000000000}"/>
  </hyperlink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封裝程式殼層物件" shapeId="120837" r:id="rId4">
          <objectPr defaultSize="0" r:id="rId5">
            <anchor moveWithCells="1">
              <from>
                <xdr:col>2</xdr:col>
                <xdr:colOff>426720</xdr:colOff>
                <xdr:row>38</xdr:row>
                <xdr:rowOff>129540</xdr:rowOff>
              </from>
              <to>
                <xdr:col>3</xdr:col>
                <xdr:colOff>388620</xdr:colOff>
                <xdr:row>38</xdr:row>
                <xdr:rowOff>640080</xdr:rowOff>
              </to>
            </anchor>
          </objectPr>
        </oleObject>
      </mc:Choice>
      <mc:Fallback>
        <oleObject progId="封裝程式殼層物件" shapeId="120837" r:id="rId4"/>
      </mc:Fallback>
    </mc:AlternateContent>
    <mc:AlternateContent xmlns:mc="http://schemas.openxmlformats.org/markup-compatibility/2006">
      <mc:Choice Requires="x14">
        <oleObject progId="封裝程式殼層物件" shapeId="120838" r:id="rId6">
          <objectPr defaultSize="0" r:id="rId7">
            <anchor moveWithCells="1">
              <from>
                <xdr:col>3</xdr:col>
                <xdr:colOff>563880</xdr:colOff>
                <xdr:row>38</xdr:row>
                <xdr:rowOff>114300</xdr:rowOff>
              </from>
              <to>
                <xdr:col>5</xdr:col>
                <xdr:colOff>861060</xdr:colOff>
                <xdr:row>38</xdr:row>
                <xdr:rowOff>632460</xdr:rowOff>
              </to>
            </anchor>
          </objectPr>
        </oleObject>
      </mc:Choice>
      <mc:Fallback>
        <oleObject progId="封裝程式殼層物件" shapeId="120838" r:id="rId6"/>
      </mc:Fallback>
    </mc:AlternateContent>
  </oleObjec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31"/>
  <sheetViews>
    <sheetView showGridLines="0" topLeftCell="A4" zoomScale="90" zoomScaleNormal="90" workbookViewId="0">
      <selection activeCell="C30" sqref="C30:J30"/>
    </sheetView>
  </sheetViews>
  <sheetFormatPr defaultColWidth="9" defaultRowHeight="16.2"/>
  <cols>
    <col min="1" max="1" width="9" style="3"/>
    <col min="2" max="2" width="18.77734375" style="3" customWidth="1"/>
    <col min="3" max="3" width="24" style="3" customWidth="1"/>
    <col min="4" max="4" width="14.21875" style="3" bestFit="1" customWidth="1"/>
    <col min="5" max="5" width="10.44140625" style="3" bestFit="1" customWidth="1"/>
    <col min="6" max="6" width="9.33203125" style="3" bestFit="1" customWidth="1"/>
    <col min="7" max="7" width="10.109375" style="3" bestFit="1" customWidth="1"/>
    <col min="8" max="8" width="14.21875" style="3" bestFit="1" customWidth="1"/>
    <col min="9" max="9" width="50.5546875" style="3" customWidth="1"/>
    <col min="10" max="10" width="60.21875" style="3" customWidth="1"/>
    <col min="11" max="16384" width="9" style="3"/>
  </cols>
  <sheetData>
    <row r="1" spans="1:10">
      <c r="A1" s="250"/>
      <c r="B1" s="250"/>
      <c r="C1" s="250"/>
    </row>
    <row r="2" spans="1:10">
      <c r="A2" s="250"/>
      <c r="B2" s="250"/>
      <c r="C2" s="250"/>
    </row>
    <row r="3" spans="1:10" ht="16.8" thickBot="1">
      <c r="A3" s="250"/>
      <c r="B3" s="250"/>
      <c r="C3" s="250"/>
    </row>
    <row r="4" spans="1:10">
      <c r="A4" s="90" t="s">
        <v>0</v>
      </c>
      <c r="B4" s="86" t="s">
        <v>42</v>
      </c>
      <c r="C4" s="251" t="s">
        <v>424</v>
      </c>
      <c r="D4" s="251"/>
      <c r="E4" s="251"/>
      <c r="F4" s="251"/>
      <c r="G4" s="251"/>
      <c r="H4" s="251"/>
      <c r="I4" s="251"/>
      <c r="J4" s="252"/>
    </row>
    <row r="5" spans="1:10">
      <c r="B5" s="87" t="s">
        <v>83</v>
      </c>
      <c r="C5" s="240" t="s">
        <v>261</v>
      </c>
      <c r="D5" s="240"/>
      <c r="E5" s="240"/>
      <c r="F5" s="240"/>
      <c r="G5" s="240"/>
      <c r="H5" s="240"/>
      <c r="I5" s="240"/>
      <c r="J5" s="241"/>
    </row>
    <row r="6" spans="1:10" ht="16.5" customHeight="1" thickBot="1">
      <c r="A6" s="4"/>
      <c r="B6" s="88" t="s">
        <v>5</v>
      </c>
      <c r="C6" s="242" t="s">
        <v>149</v>
      </c>
      <c r="D6" s="242"/>
      <c r="E6" s="242"/>
      <c r="F6" s="242"/>
      <c r="G6" s="242"/>
      <c r="H6" s="242"/>
      <c r="I6" s="242"/>
      <c r="J6" s="243"/>
    </row>
    <row r="7" spans="1:10" ht="6.6" customHeight="1" thickBot="1">
      <c r="A7" s="4"/>
      <c r="C7" s="84"/>
      <c r="D7" s="84"/>
      <c r="E7" s="84"/>
      <c r="F7" s="84"/>
      <c r="G7" s="84"/>
      <c r="H7" s="84"/>
      <c r="I7" s="84"/>
      <c r="J7" s="84"/>
    </row>
    <row r="8" spans="1:10" ht="16.5" customHeight="1">
      <c r="A8" s="4"/>
      <c r="B8" s="244" t="s">
        <v>102</v>
      </c>
      <c r="C8" s="91" t="s">
        <v>106</v>
      </c>
      <c r="D8" s="91" t="s">
        <v>103</v>
      </c>
      <c r="E8" s="91" t="s">
        <v>107</v>
      </c>
      <c r="F8" s="91" t="s">
        <v>104</v>
      </c>
      <c r="G8" s="91" t="s">
        <v>108</v>
      </c>
      <c r="H8" s="91" t="s">
        <v>105</v>
      </c>
      <c r="I8" s="91" t="s">
        <v>24</v>
      </c>
      <c r="J8" s="96" t="s">
        <v>2</v>
      </c>
    </row>
    <row r="9" spans="1:10">
      <c r="A9" s="4"/>
      <c r="B9" s="245"/>
      <c r="C9" s="28" t="s">
        <v>41</v>
      </c>
      <c r="D9" s="28" t="s">
        <v>72</v>
      </c>
      <c r="E9" s="28"/>
      <c r="F9" s="28"/>
      <c r="G9" s="28"/>
      <c r="H9" s="28"/>
      <c r="I9" s="28" t="s">
        <v>75</v>
      </c>
      <c r="J9" s="27" t="s">
        <v>27</v>
      </c>
    </row>
    <row r="10" spans="1:10">
      <c r="A10" s="4"/>
      <c r="B10" s="245"/>
      <c r="C10" s="28" t="s">
        <v>114</v>
      </c>
      <c r="D10" s="28" t="s">
        <v>72</v>
      </c>
      <c r="E10" s="28"/>
      <c r="F10" s="28"/>
      <c r="G10" s="28"/>
      <c r="H10" s="28"/>
      <c r="I10" s="28" t="s">
        <v>76</v>
      </c>
      <c r="J10" s="27" t="s">
        <v>28</v>
      </c>
    </row>
    <row r="11" spans="1:10">
      <c r="A11" s="4"/>
      <c r="B11" s="245"/>
      <c r="C11" s="28" t="s">
        <v>116</v>
      </c>
      <c r="D11" s="28" t="s">
        <v>72</v>
      </c>
      <c r="E11" s="28"/>
      <c r="F11" s="28"/>
      <c r="G11" s="28"/>
      <c r="H11" s="28"/>
      <c r="I11" s="28" t="s">
        <v>281</v>
      </c>
      <c r="J11" s="27" t="s">
        <v>260</v>
      </c>
    </row>
    <row r="12" spans="1:10" ht="154.19999999999999" customHeight="1">
      <c r="A12" s="84"/>
      <c r="B12" s="245"/>
      <c r="C12" s="144" t="s">
        <v>128</v>
      </c>
      <c r="D12" s="95" t="s">
        <v>137</v>
      </c>
      <c r="E12" s="99"/>
      <c r="F12" s="98"/>
      <c r="G12" s="101"/>
      <c r="H12" s="28"/>
      <c r="I12" s="50" t="s">
        <v>45</v>
      </c>
      <c r="J12" s="47" t="s">
        <v>265</v>
      </c>
    </row>
    <row r="13" spans="1:10" ht="31.2">
      <c r="B13" s="253"/>
      <c r="C13" s="176" t="s">
        <v>474</v>
      </c>
      <c r="D13" s="176" t="s">
        <v>475</v>
      </c>
      <c r="E13" s="177"/>
      <c r="F13" s="176"/>
      <c r="G13" s="175"/>
      <c r="H13" s="178"/>
      <c r="I13" s="180" t="s">
        <v>478</v>
      </c>
      <c r="J13" s="179" t="s">
        <v>479</v>
      </c>
    </row>
    <row r="14" spans="1:10" ht="16.8" thickBot="1">
      <c r="B14" s="246"/>
      <c r="C14" s="30"/>
      <c r="D14" s="30"/>
      <c r="E14" s="30"/>
      <c r="F14" s="30"/>
      <c r="G14" s="30"/>
      <c r="H14" s="30"/>
      <c r="I14" s="30"/>
      <c r="J14" s="29"/>
    </row>
    <row r="15" spans="1:10">
      <c r="B15" s="85"/>
      <c r="C15" s="83"/>
      <c r="D15" s="83"/>
      <c r="E15" s="83"/>
      <c r="F15" s="83"/>
      <c r="G15" s="83"/>
      <c r="H15" s="83"/>
      <c r="I15" s="83"/>
      <c r="J15" s="83"/>
    </row>
    <row r="16" spans="1:10" ht="16.8" thickBot="1"/>
    <row r="17" spans="2:10">
      <c r="B17" s="86" t="s">
        <v>42</v>
      </c>
      <c r="C17" s="251" t="s">
        <v>425</v>
      </c>
      <c r="D17" s="251"/>
      <c r="E17" s="251"/>
      <c r="F17" s="251"/>
      <c r="G17" s="251"/>
      <c r="H17" s="251"/>
      <c r="I17" s="251"/>
      <c r="J17" s="252"/>
    </row>
    <row r="18" spans="2:10">
      <c r="B18" s="87" t="s">
        <v>83</v>
      </c>
      <c r="C18" s="240" t="s">
        <v>259</v>
      </c>
      <c r="D18" s="240"/>
      <c r="E18" s="240"/>
      <c r="F18" s="240"/>
      <c r="G18" s="240"/>
      <c r="H18" s="240"/>
      <c r="I18" s="240"/>
      <c r="J18" s="241"/>
    </row>
    <row r="19" spans="2:10" ht="16.8" thickBot="1">
      <c r="B19" s="88" t="s">
        <v>5</v>
      </c>
      <c r="C19" s="242" t="s">
        <v>422</v>
      </c>
      <c r="D19" s="242"/>
      <c r="E19" s="242"/>
      <c r="F19" s="242"/>
      <c r="G19" s="242"/>
      <c r="H19" s="242"/>
      <c r="I19" s="242"/>
      <c r="J19" s="243"/>
    </row>
    <row r="20" spans="2:10" ht="16.8" thickBot="1">
      <c r="C20" s="84"/>
      <c r="D20" s="84"/>
      <c r="E20" s="84"/>
      <c r="F20" s="84"/>
      <c r="G20" s="84"/>
      <c r="H20" s="84"/>
      <c r="I20" s="84"/>
      <c r="J20" s="84"/>
    </row>
    <row r="21" spans="2:10">
      <c r="B21" s="244" t="s">
        <v>102</v>
      </c>
      <c r="C21" s="91" t="s">
        <v>106</v>
      </c>
      <c r="D21" s="91" t="s">
        <v>103</v>
      </c>
      <c r="E21" s="91" t="s">
        <v>107</v>
      </c>
      <c r="F21" s="91" t="s">
        <v>104</v>
      </c>
      <c r="G21" s="91" t="s">
        <v>108</v>
      </c>
      <c r="H21" s="91" t="s">
        <v>105</v>
      </c>
      <c r="I21" s="91" t="s">
        <v>24</v>
      </c>
      <c r="J21" s="96" t="s">
        <v>2</v>
      </c>
    </row>
    <row r="22" spans="2:10">
      <c r="B22" s="245"/>
      <c r="C22" s="28" t="s">
        <v>41</v>
      </c>
      <c r="D22" s="28" t="s">
        <v>72</v>
      </c>
      <c r="E22" s="28"/>
      <c r="F22" s="28"/>
      <c r="G22" s="28"/>
      <c r="H22" s="28"/>
      <c r="I22" s="28" t="s">
        <v>75</v>
      </c>
      <c r="J22" s="27" t="s">
        <v>27</v>
      </c>
    </row>
    <row r="23" spans="2:10">
      <c r="B23" s="245"/>
      <c r="C23" s="28" t="s">
        <v>114</v>
      </c>
      <c r="D23" s="28" t="s">
        <v>72</v>
      </c>
      <c r="E23" s="28"/>
      <c r="F23" s="28"/>
      <c r="G23" s="28"/>
      <c r="H23" s="28"/>
      <c r="I23" s="28" t="s">
        <v>76</v>
      </c>
      <c r="J23" s="27" t="s">
        <v>28</v>
      </c>
    </row>
    <row r="24" spans="2:10">
      <c r="B24" s="245"/>
      <c r="C24" s="31" t="s">
        <v>116</v>
      </c>
      <c r="D24" s="28" t="s">
        <v>72</v>
      </c>
      <c r="E24" s="28"/>
      <c r="F24" s="28"/>
      <c r="G24" s="28"/>
      <c r="H24" s="28"/>
      <c r="I24" s="28" t="s">
        <v>281</v>
      </c>
      <c r="J24" s="27" t="s">
        <v>260</v>
      </c>
    </row>
    <row r="25" spans="2:10">
      <c r="B25" s="245"/>
      <c r="C25" s="101" t="s">
        <v>128</v>
      </c>
      <c r="D25" s="95" t="s">
        <v>137</v>
      </c>
      <c r="E25" s="98"/>
      <c r="F25" s="98"/>
      <c r="G25" s="98"/>
      <c r="H25" s="98"/>
      <c r="I25" s="50" t="s">
        <v>147</v>
      </c>
      <c r="J25" s="47" t="s">
        <v>151</v>
      </c>
    </row>
    <row r="26" spans="2:10">
      <c r="B26" s="245"/>
      <c r="C26" s="28" t="s">
        <v>150</v>
      </c>
      <c r="D26" s="98" t="s">
        <v>72</v>
      </c>
      <c r="E26" s="28"/>
      <c r="F26" s="28"/>
      <c r="G26" s="28"/>
      <c r="H26" s="28"/>
      <c r="I26" s="28" t="s">
        <v>100</v>
      </c>
      <c r="J26" s="27" t="s">
        <v>152</v>
      </c>
    </row>
    <row r="27" spans="2:10">
      <c r="B27" s="253"/>
      <c r="C27" s="104"/>
      <c r="D27" s="105"/>
      <c r="E27" s="104"/>
      <c r="F27" s="104"/>
      <c r="G27" s="104"/>
      <c r="H27" s="104"/>
      <c r="I27" s="104"/>
      <c r="J27" s="106"/>
    </row>
    <row r="28" spans="2:10" ht="16.8" thickBot="1">
      <c r="B28" s="246"/>
      <c r="C28" s="30"/>
      <c r="D28" s="30"/>
      <c r="E28" s="30"/>
      <c r="F28" s="30"/>
      <c r="G28" s="30"/>
      <c r="H28" s="30"/>
      <c r="I28" s="30"/>
      <c r="J28" s="29"/>
    </row>
    <row r="29" spans="2:10">
      <c r="B29" s="85"/>
      <c r="C29" s="83"/>
      <c r="D29" s="83"/>
      <c r="E29" s="83"/>
      <c r="F29" s="83"/>
      <c r="G29" s="83"/>
      <c r="H29" s="83"/>
      <c r="I29" s="83"/>
      <c r="J29" s="83"/>
    </row>
    <row r="30" spans="2:10" ht="57" customHeight="1">
      <c r="B30" s="89" t="s">
        <v>74</v>
      </c>
      <c r="C30" s="247"/>
      <c r="D30" s="248"/>
      <c r="E30" s="248"/>
      <c r="F30" s="248"/>
      <c r="G30" s="248"/>
      <c r="H30" s="248"/>
      <c r="I30" s="248"/>
      <c r="J30" s="249"/>
    </row>
    <row r="31" spans="2:10">
      <c r="B31" s="85"/>
      <c r="C31" s="83"/>
      <c r="D31" s="83"/>
      <c r="E31" s="83"/>
      <c r="F31" s="83"/>
      <c r="G31" s="83"/>
      <c r="H31" s="83"/>
      <c r="I31" s="83"/>
      <c r="J31" s="83"/>
    </row>
  </sheetData>
  <mergeCells count="10">
    <mergeCell ref="C18:J18"/>
    <mergeCell ref="C19:J19"/>
    <mergeCell ref="B21:B28"/>
    <mergeCell ref="C30:J30"/>
    <mergeCell ref="A1:C3"/>
    <mergeCell ref="C4:J4"/>
    <mergeCell ref="C5:J5"/>
    <mergeCell ref="C6:J6"/>
    <mergeCell ref="B8:B14"/>
    <mergeCell ref="C17:J17"/>
  </mergeCells>
  <phoneticPr fontId="1" type="noConversion"/>
  <conditionalFormatting sqref="C21:H21">
    <cfRule type="duplicateValues" dxfId="7" priority="32"/>
  </conditionalFormatting>
  <conditionalFormatting sqref="C8:H8">
    <cfRule type="duplicateValues" dxfId="6" priority="33"/>
  </conditionalFormatting>
  <hyperlinks>
    <hyperlink ref="A4" location="List!A1" display="LIST" xr:uid="{00000000-0004-0000-1900-000000000000}"/>
  </hyperlink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封裝程式殼層物件" shapeId="117769" r:id="rId4">
          <objectPr defaultSize="0" r:id="rId5">
            <anchor moveWithCells="1">
              <from>
                <xdr:col>2</xdr:col>
                <xdr:colOff>129540</xdr:colOff>
                <xdr:row>29</xdr:row>
                <xdr:rowOff>106680</xdr:rowOff>
              </from>
              <to>
                <xdr:col>3</xdr:col>
                <xdr:colOff>396240</xdr:colOff>
                <xdr:row>29</xdr:row>
                <xdr:rowOff>617220</xdr:rowOff>
              </to>
            </anchor>
          </objectPr>
        </oleObject>
      </mc:Choice>
      <mc:Fallback>
        <oleObject progId="封裝程式殼層物件" shapeId="117769" r:id="rId4"/>
      </mc:Fallback>
    </mc:AlternateContent>
    <mc:AlternateContent xmlns:mc="http://schemas.openxmlformats.org/markup-compatibility/2006">
      <mc:Choice Requires="x14">
        <oleObject progId="封裝程式殼層物件" shapeId="117770" r:id="rId6">
          <objectPr defaultSize="0" r:id="rId7">
            <anchor moveWithCells="1">
              <from>
                <xdr:col>3</xdr:col>
                <xdr:colOff>487680</xdr:colOff>
                <xdr:row>29</xdr:row>
                <xdr:rowOff>99060</xdr:rowOff>
              </from>
              <to>
                <xdr:col>6</xdr:col>
                <xdr:colOff>449580</xdr:colOff>
                <xdr:row>29</xdr:row>
                <xdr:rowOff>609600</xdr:rowOff>
              </to>
            </anchor>
          </objectPr>
        </oleObject>
      </mc:Choice>
      <mc:Fallback>
        <oleObject progId="封裝程式殼層物件" shapeId="117770" r:id="rId6"/>
      </mc:Fallback>
    </mc:AlternateContent>
  </oleObjec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34"/>
  <sheetViews>
    <sheetView showGridLines="0" topLeftCell="A7" zoomScale="90" zoomScaleNormal="90" workbookViewId="0">
      <selection activeCell="C33" sqref="C33:J33"/>
    </sheetView>
  </sheetViews>
  <sheetFormatPr defaultColWidth="9" defaultRowHeight="16.2"/>
  <cols>
    <col min="1" max="1" width="9" style="3"/>
    <col min="2" max="2" width="18.77734375" style="3" customWidth="1"/>
    <col min="3" max="3" width="24" style="3" customWidth="1"/>
    <col min="4" max="4" width="14.21875" style="3" bestFit="1" customWidth="1"/>
    <col min="5" max="5" width="10.44140625" style="3" bestFit="1" customWidth="1"/>
    <col min="6" max="6" width="9.33203125" style="3" bestFit="1" customWidth="1"/>
    <col min="7" max="7" width="10.109375" style="3" bestFit="1" customWidth="1"/>
    <col min="8" max="8" width="14.21875" style="3" bestFit="1" customWidth="1"/>
    <col min="9" max="9" width="46.88671875" style="3" customWidth="1"/>
    <col min="10" max="10" width="64.44140625" style="3" customWidth="1"/>
    <col min="11" max="16384" width="9" style="3"/>
  </cols>
  <sheetData>
    <row r="1" spans="1:10">
      <c r="A1" s="250"/>
      <c r="B1" s="250"/>
      <c r="C1" s="250"/>
    </row>
    <row r="2" spans="1:10">
      <c r="A2" s="250"/>
      <c r="B2" s="250"/>
      <c r="C2" s="250"/>
    </row>
    <row r="3" spans="1:10" ht="16.8" thickBot="1">
      <c r="A3" s="250"/>
      <c r="B3" s="250"/>
      <c r="C3" s="250"/>
    </row>
    <row r="4" spans="1:10">
      <c r="A4" s="90" t="s">
        <v>0</v>
      </c>
      <c r="B4" s="86" t="s">
        <v>42</v>
      </c>
      <c r="C4" s="251" t="s">
        <v>463</v>
      </c>
      <c r="D4" s="251"/>
      <c r="E4" s="251"/>
      <c r="F4" s="251"/>
      <c r="G4" s="251"/>
      <c r="H4" s="251"/>
      <c r="I4" s="251"/>
      <c r="J4" s="252"/>
    </row>
    <row r="5" spans="1:10">
      <c r="B5" s="87" t="s">
        <v>83</v>
      </c>
      <c r="C5" s="240" t="s">
        <v>264</v>
      </c>
      <c r="D5" s="240"/>
      <c r="E5" s="240"/>
      <c r="F5" s="240"/>
      <c r="G5" s="240"/>
      <c r="H5" s="240"/>
      <c r="I5" s="240"/>
      <c r="J5" s="241"/>
    </row>
    <row r="6" spans="1:10" ht="16.5" customHeight="1" thickBot="1">
      <c r="A6" s="4"/>
      <c r="B6" s="88" t="s">
        <v>5</v>
      </c>
      <c r="C6" s="242" t="s">
        <v>420</v>
      </c>
      <c r="D6" s="242"/>
      <c r="E6" s="242"/>
      <c r="F6" s="242"/>
      <c r="G6" s="242"/>
      <c r="H6" s="242"/>
      <c r="I6" s="242"/>
      <c r="J6" s="243"/>
    </row>
    <row r="7" spans="1:10" ht="6.6" customHeight="1" thickBot="1">
      <c r="A7" s="4"/>
      <c r="C7" s="84"/>
      <c r="D7" s="84"/>
      <c r="E7" s="84"/>
      <c r="F7" s="84"/>
      <c r="G7" s="84"/>
      <c r="H7" s="84"/>
      <c r="I7" s="84"/>
      <c r="J7" s="84"/>
    </row>
    <row r="8" spans="1:10" ht="16.5" customHeight="1">
      <c r="A8" s="4"/>
      <c r="B8" s="244" t="s">
        <v>102</v>
      </c>
      <c r="C8" s="91" t="s">
        <v>106</v>
      </c>
      <c r="D8" s="91" t="s">
        <v>103</v>
      </c>
      <c r="E8" s="91" t="s">
        <v>107</v>
      </c>
      <c r="F8" s="91" t="s">
        <v>104</v>
      </c>
      <c r="G8" s="91" t="s">
        <v>108</v>
      </c>
      <c r="H8" s="91" t="s">
        <v>105</v>
      </c>
      <c r="I8" s="91" t="s">
        <v>24</v>
      </c>
      <c r="J8" s="96" t="s">
        <v>2</v>
      </c>
    </row>
    <row r="9" spans="1:10">
      <c r="A9" s="4"/>
      <c r="B9" s="245"/>
      <c r="C9" s="28" t="s">
        <v>41</v>
      </c>
      <c r="D9" s="28" t="s">
        <v>72</v>
      </c>
      <c r="E9" s="28"/>
      <c r="F9" s="28"/>
      <c r="G9" s="28"/>
      <c r="H9" s="28"/>
      <c r="I9" s="28" t="s">
        <v>75</v>
      </c>
      <c r="J9" s="27" t="s">
        <v>27</v>
      </c>
    </row>
    <row r="10" spans="1:10">
      <c r="A10" s="4"/>
      <c r="B10" s="245"/>
      <c r="C10" s="28" t="s">
        <v>114</v>
      </c>
      <c r="D10" s="28" t="s">
        <v>72</v>
      </c>
      <c r="E10" s="28"/>
      <c r="F10" s="28"/>
      <c r="G10" s="28"/>
      <c r="H10" s="28"/>
      <c r="I10" s="28" t="s">
        <v>76</v>
      </c>
      <c r="J10" s="27" t="s">
        <v>28</v>
      </c>
    </row>
    <row r="11" spans="1:10">
      <c r="A11" s="4"/>
      <c r="B11" s="245"/>
      <c r="C11" s="28" t="s">
        <v>116</v>
      </c>
      <c r="D11" s="28" t="s">
        <v>72</v>
      </c>
      <c r="E11" s="28"/>
      <c r="F11" s="28"/>
      <c r="G11" s="28"/>
      <c r="H11" s="28"/>
      <c r="I11" s="28" t="s">
        <v>281</v>
      </c>
      <c r="J11" s="27" t="s">
        <v>260</v>
      </c>
    </row>
    <row r="12" spans="1:10">
      <c r="A12" s="84"/>
      <c r="B12" s="245"/>
      <c r="C12" s="99" t="s">
        <v>127</v>
      </c>
      <c r="D12" s="28" t="s">
        <v>72</v>
      </c>
      <c r="E12" s="99"/>
      <c r="F12" s="98"/>
      <c r="G12" s="99"/>
      <c r="H12" s="28"/>
      <c r="I12" s="28" t="s">
        <v>232</v>
      </c>
      <c r="J12" s="27" t="s">
        <v>407</v>
      </c>
    </row>
    <row r="13" spans="1:10" ht="154.19999999999999" customHeight="1">
      <c r="A13" s="84"/>
      <c r="B13" s="245"/>
      <c r="C13" s="144" t="s">
        <v>128</v>
      </c>
      <c r="D13" s="95" t="s">
        <v>137</v>
      </c>
      <c r="E13" s="99"/>
      <c r="F13" s="98"/>
      <c r="G13" s="101"/>
      <c r="H13" s="28"/>
      <c r="I13" s="50" t="s">
        <v>45</v>
      </c>
      <c r="J13" s="47" t="s">
        <v>265</v>
      </c>
    </row>
    <row r="14" spans="1:10" ht="16.2" customHeight="1">
      <c r="A14" s="84"/>
      <c r="B14" s="245"/>
      <c r="C14" s="102" t="s">
        <v>134</v>
      </c>
      <c r="D14" s="98" t="s">
        <v>72</v>
      </c>
      <c r="E14" s="99"/>
      <c r="F14" s="98"/>
      <c r="G14" s="102"/>
      <c r="H14" s="98"/>
      <c r="I14" s="28" t="s">
        <v>161</v>
      </c>
      <c r="J14" s="97" t="s">
        <v>99</v>
      </c>
    </row>
    <row r="15" spans="1:10" ht="16.2" customHeight="1">
      <c r="A15" s="84"/>
      <c r="B15" s="253"/>
      <c r="C15" s="170" t="s">
        <v>474</v>
      </c>
      <c r="D15" s="170" t="s">
        <v>475</v>
      </c>
      <c r="E15" s="171"/>
      <c r="F15" s="170"/>
      <c r="G15" s="169"/>
      <c r="H15" s="172"/>
      <c r="I15" s="174" t="s">
        <v>476</v>
      </c>
      <c r="J15" s="173" t="s">
        <v>477</v>
      </c>
    </row>
    <row r="16" spans="1:10">
      <c r="B16" s="253"/>
      <c r="C16" s="104" t="s">
        <v>153</v>
      </c>
      <c r="D16" s="98" t="s">
        <v>91</v>
      </c>
      <c r="E16" s="105"/>
      <c r="F16" s="105"/>
      <c r="G16" s="105"/>
      <c r="H16" s="105"/>
      <c r="I16" s="104" t="s">
        <v>76</v>
      </c>
      <c r="J16" s="106" t="s">
        <v>154</v>
      </c>
    </row>
    <row r="17" spans="2:10">
      <c r="B17" s="253"/>
      <c r="C17" s="104"/>
      <c r="D17" s="105"/>
      <c r="E17" s="105"/>
      <c r="F17" s="105"/>
      <c r="G17" s="105"/>
      <c r="H17" s="105"/>
      <c r="I17" s="104"/>
      <c r="J17" s="106"/>
    </row>
    <row r="18" spans="2:10" ht="16.8" thickBot="1">
      <c r="B18" s="246"/>
      <c r="C18" s="30"/>
      <c r="D18" s="30"/>
      <c r="E18" s="30"/>
      <c r="F18" s="30"/>
      <c r="G18" s="30"/>
      <c r="H18" s="30"/>
      <c r="I18" s="30"/>
      <c r="J18" s="29"/>
    </row>
    <row r="19" spans="2:10">
      <c r="B19" s="85"/>
      <c r="C19" s="83"/>
      <c r="D19" s="83"/>
      <c r="E19" s="83"/>
      <c r="F19" s="83"/>
      <c r="G19" s="83"/>
      <c r="H19" s="83"/>
      <c r="I19" s="83"/>
      <c r="J19" s="83"/>
    </row>
    <row r="20" spans="2:10" ht="16.8" thickBot="1"/>
    <row r="21" spans="2:10">
      <c r="B21" s="86" t="s">
        <v>42</v>
      </c>
      <c r="C21" s="251" t="s">
        <v>464</v>
      </c>
      <c r="D21" s="251"/>
      <c r="E21" s="251"/>
      <c r="F21" s="251"/>
      <c r="G21" s="251"/>
      <c r="H21" s="251"/>
      <c r="I21" s="251"/>
      <c r="J21" s="252"/>
    </row>
    <row r="22" spans="2:10">
      <c r="B22" s="87" t="s">
        <v>83</v>
      </c>
      <c r="C22" s="240" t="s">
        <v>263</v>
      </c>
      <c r="D22" s="240"/>
      <c r="E22" s="240"/>
      <c r="F22" s="240"/>
      <c r="G22" s="240"/>
      <c r="H22" s="240"/>
      <c r="I22" s="240"/>
      <c r="J22" s="241"/>
    </row>
    <row r="23" spans="2:10" ht="16.8" thickBot="1">
      <c r="B23" s="88" t="s">
        <v>5</v>
      </c>
      <c r="C23" s="242" t="s">
        <v>421</v>
      </c>
      <c r="D23" s="242"/>
      <c r="E23" s="242"/>
      <c r="F23" s="242"/>
      <c r="G23" s="242"/>
      <c r="H23" s="242"/>
      <c r="I23" s="242"/>
      <c r="J23" s="243"/>
    </row>
    <row r="24" spans="2:10" ht="16.8" thickBot="1">
      <c r="C24" s="84"/>
      <c r="D24" s="84"/>
      <c r="E24" s="84"/>
      <c r="F24" s="84"/>
      <c r="G24" s="84"/>
      <c r="H24" s="84"/>
      <c r="I24" s="84"/>
      <c r="J24" s="84"/>
    </row>
    <row r="25" spans="2:10">
      <c r="B25" s="244" t="s">
        <v>102</v>
      </c>
      <c r="C25" s="91" t="s">
        <v>106</v>
      </c>
      <c r="D25" s="91" t="s">
        <v>103</v>
      </c>
      <c r="E25" s="91" t="s">
        <v>107</v>
      </c>
      <c r="F25" s="91" t="s">
        <v>104</v>
      </c>
      <c r="G25" s="91" t="s">
        <v>108</v>
      </c>
      <c r="H25" s="91" t="s">
        <v>105</v>
      </c>
      <c r="I25" s="91" t="s">
        <v>24</v>
      </c>
      <c r="J25" s="96" t="s">
        <v>2</v>
      </c>
    </row>
    <row r="26" spans="2:10">
      <c r="B26" s="245"/>
      <c r="C26" s="28" t="s">
        <v>41</v>
      </c>
      <c r="D26" s="28" t="s">
        <v>72</v>
      </c>
      <c r="E26" s="28"/>
      <c r="F26" s="28"/>
      <c r="G26" s="28"/>
      <c r="H26" s="28"/>
      <c r="I26" s="28" t="s">
        <v>75</v>
      </c>
      <c r="J26" s="27" t="s">
        <v>27</v>
      </c>
    </row>
    <row r="27" spans="2:10">
      <c r="B27" s="245"/>
      <c r="C27" s="28" t="s">
        <v>114</v>
      </c>
      <c r="D27" s="28" t="s">
        <v>72</v>
      </c>
      <c r="E27" s="28"/>
      <c r="F27" s="28"/>
      <c r="G27" s="28"/>
      <c r="H27" s="28"/>
      <c r="I27" s="28" t="s">
        <v>76</v>
      </c>
      <c r="J27" s="27" t="s">
        <v>28</v>
      </c>
    </row>
    <row r="28" spans="2:10">
      <c r="B28" s="245"/>
      <c r="C28" s="31" t="s">
        <v>116</v>
      </c>
      <c r="D28" s="28" t="s">
        <v>72</v>
      </c>
      <c r="E28" s="28"/>
      <c r="F28" s="28"/>
      <c r="G28" s="28"/>
      <c r="H28" s="28"/>
      <c r="I28" s="28" t="s">
        <v>281</v>
      </c>
      <c r="J28" s="27" t="s">
        <v>260</v>
      </c>
    </row>
    <row r="29" spans="2:10">
      <c r="B29" s="245"/>
      <c r="C29" s="101" t="s">
        <v>128</v>
      </c>
      <c r="D29" s="95" t="s">
        <v>137</v>
      </c>
      <c r="E29" s="98"/>
      <c r="F29" s="98"/>
      <c r="G29" s="98"/>
      <c r="H29" s="98"/>
      <c r="I29" s="50" t="s">
        <v>147</v>
      </c>
      <c r="J29" s="47" t="s">
        <v>151</v>
      </c>
    </row>
    <row r="30" spans="2:10">
      <c r="B30" s="245"/>
      <c r="C30" s="28"/>
      <c r="D30" s="28"/>
      <c r="E30" s="28"/>
      <c r="F30" s="28"/>
      <c r="G30" s="28"/>
      <c r="H30" s="28"/>
      <c r="I30" s="28"/>
      <c r="J30" s="27"/>
    </row>
    <row r="31" spans="2:10" ht="16.8" thickBot="1">
      <c r="B31" s="246"/>
      <c r="C31" s="30"/>
      <c r="D31" s="30"/>
      <c r="E31" s="30"/>
      <c r="F31" s="30"/>
      <c r="G31" s="30"/>
      <c r="H31" s="30"/>
      <c r="I31" s="30"/>
      <c r="J31" s="29"/>
    </row>
    <row r="32" spans="2:10">
      <c r="B32" s="85"/>
      <c r="C32" s="83"/>
      <c r="D32" s="83"/>
      <c r="E32" s="83"/>
      <c r="F32" s="83"/>
      <c r="G32" s="83"/>
      <c r="H32" s="83"/>
      <c r="I32" s="83"/>
      <c r="J32" s="83"/>
    </row>
    <row r="33" spans="2:10" ht="57" customHeight="1">
      <c r="B33" s="89" t="s">
        <v>74</v>
      </c>
      <c r="C33" s="247"/>
      <c r="D33" s="248"/>
      <c r="E33" s="248"/>
      <c r="F33" s="248"/>
      <c r="G33" s="248"/>
      <c r="H33" s="248"/>
      <c r="I33" s="248"/>
      <c r="J33" s="249"/>
    </row>
    <row r="34" spans="2:10">
      <c r="B34" s="85"/>
      <c r="C34" s="83"/>
      <c r="D34" s="83"/>
      <c r="E34" s="83"/>
      <c r="F34" s="83"/>
      <c r="G34" s="83"/>
      <c r="H34" s="83"/>
      <c r="I34" s="83"/>
      <c r="J34" s="83"/>
    </row>
  </sheetData>
  <mergeCells count="10">
    <mergeCell ref="C22:J22"/>
    <mergeCell ref="C23:J23"/>
    <mergeCell ref="B25:B31"/>
    <mergeCell ref="C33:J33"/>
    <mergeCell ref="A1:C3"/>
    <mergeCell ref="C4:J4"/>
    <mergeCell ref="C5:J5"/>
    <mergeCell ref="C6:J6"/>
    <mergeCell ref="B8:B18"/>
    <mergeCell ref="C21:J21"/>
  </mergeCells>
  <phoneticPr fontId="1" type="noConversion"/>
  <conditionalFormatting sqref="C25:H25">
    <cfRule type="duplicateValues" dxfId="5" priority="30"/>
  </conditionalFormatting>
  <conditionalFormatting sqref="C8:H8">
    <cfRule type="duplicateValues" dxfId="4" priority="31"/>
  </conditionalFormatting>
  <hyperlinks>
    <hyperlink ref="A4" location="List!A1" display="LIST" xr:uid="{00000000-0004-0000-1A00-000000000000}"/>
  </hyperlink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封裝程式殼層物件" shapeId="118792" r:id="rId4">
          <objectPr defaultSize="0" r:id="rId5">
            <anchor moveWithCells="1">
              <from>
                <xdr:col>2</xdr:col>
                <xdr:colOff>381000</xdr:colOff>
                <xdr:row>32</xdr:row>
                <xdr:rowOff>83820</xdr:rowOff>
              </from>
              <to>
                <xdr:col>3</xdr:col>
                <xdr:colOff>83820</xdr:colOff>
                <xdr:row>32</xdr:row>
                <xdr:rowOff>601980</xdr:rowOff>
              </to>
            </anchor>
          </objectPr>
        </oleObject>
      </mc:Choice>
      <mc:Fallback>
        <oleObject progId="封裝程式殼層物件" shapeId="118792" r:id="rId4"/>
      </mc:Fallback>
    </mc:AlternateContent>
    <mc:AlternateContent xmlns:mc="http://schemas.openxmlformats.org/markup-compatibility/2006">
      <mc:Choice Requires="x14">
        <oleObject progId="封裝程式殼層物件" shapeId="118793" r:id="rId6">
          <objectPr defaultSize="0" r:id="rId7">
            <anchor moveWithCells="1">
              <from>
                <xdr:col>3</xdr:col>
                <xdr:colOff>251460</xdr:colOff>
                <xdr:row>32</xdr:row>
                <xdr:rowOff>106680</xdr:rowOff>
              </from>
              <to>
                <xdr:col>5</xdr:col>
                <xdr:colOff>289560</xdr:colOff>
                <xdr:row>32</xdr:row>
                <xdr:rowOff>617220</xdr:rowOff>
              </to>
            </anchor>
          </objectPr>
        </oleObject>
      </mc:Choice>
      <mc:Fallback>
        <oleObject progId="封裝程式殼層物件" shapeId="118793" r:id="rId6"/>
      </mc:Fallback>
    </mc:AlternateContent>
  </oleObjec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28"/>
  <sheetViews>
    <sheetView showGridLines="0" zoomScaleNormal="100" workbookViewId="0">
      <selection activeCell="G31" sqref="G31"/>
    </sheetView>
  </sheetViews>
  <sheetFormatPr defaultColWidth="9" defaultRowHeight="16.2"/>
  <cols>
    <col min="1" max="1" width="9" style="3"/>
    <col min="2" max="2" width="18.77734375" style="3" customWidth="1"/>
    <col min="3" max="3" width="24" style="3" customWidth="1"/>
    <col min="4" max="4" width="14.21875" style="3" bestFit="1" customWidth="1"/>
    <col min="5" max="5" width="10.44140625" style="3" bestFit="1" customWidth="1"/>
    <col min="6" max="6" width="9.33203125" style="3" bestFit="1" customWidth="1"/>
    <col min="7" max="7" width="25" style="3" customWidth="1"/>
    <col min="8" max="8" width="14.21875" style="3" bestFit="1" customWidth="1"/>
    <col min="9" max="9" width="13.33203125" style="3" bestFit="1" customWidth="1"/>
    <col min="10" max="10" width="60.21875" style="3" customWidth="1"/>
    <col min="11" max="16384" width="9" style="3"/>
  </cols>
  <sheetData>
    <row r="1" spans="1:10">
      <c r="A1" s="250"/>
      <c r="B1" s="250"/>
      <c r="C1" s="250"/>
    </row>
    <row r="2" spans="1:10">
      <c r="A2" s="250"/>
      <c r="B2" s="250"/>
      <c r="C2" s="250"/>
    </row>
    <row r="3" spans="1:10" ht="16.8" thickBot="1">
      <c r="A3" s="250"/>
      <c r="B3" s="250"/>
      <c r="C3" s="250"/>
    </row>
    <row r="4" spans="1:10">
      <c r="A4" s="90" t="s">
        <v>0</v>
      </c>
      <c r="B4" s="86" t="s">
        <v>42</v>
      </c>
      <c r="C4" s="251" t="s">
        <v>443</v>
      </c>
      <c r="D4" s="251"/>
      <c r="E4" s="251"/>
      <c r="F4" s="251"/>
      <c r="G4" s="251"/>
      <c r="H4" s="251"/>
      <c r="I4" s="251"/>
      <c r="J4" s="252"/>
    </row>
    <row r="5" spans="1:10">
      <c r="B5" s="87" t="s">
        <v>83</v>
      </c>
      <c r="C5" s="240" t="s">
        <v>277</v>
      </c>
      <c r="D5" s="240"/>
      <c r="E5" s="240"/>
      <c r="F5" s="240"/>
      <c r="G5" s="240"/>
      <c r="H5" s="240"/>
      <c r="I5" s="240"/>
      <c r="J5" s="241"/>
    </row>
    <row r="6" spans="1:10" ht="16.5" customHeight="1" thickBot="1">
      <c r="A6" s="4"/>
      <c r="B6" s="88" t="s">
        <v>5</v>
      </c>
      <c r="C6" s="242" t="s">
        <v>340</v>
      </c>
      <c r="D6" s="242"/>
      <c r="E6" s="242"/>
      <c r="F6" s="242"/>
      <c r="G6" s="242"/>
      <c r="H6" s="242"/>
      <c r="I6" s="242"/>
      <c r="J6" s="243"/>
    </row>
    <row r="7" spans="1:10" ht="6.6" customHeight="1" thickBot="1">
      <c r="A7" s="4"/>
      <c r="C7" s="84"/>
      <c r="D7" s="84"/>
      <c r="E7" s="84"/>
      <c r="F7" s="84"/>
      <c r="G7" s="84"/>
      <c r="H7" s="84"/>
      <c r="I7" s="84"/>
      <c r="J7" s="84"/>
    </row>
    <row r="8" spans="1:10" ht="16.5" customHeight="1">
      <c r="A8" s="4"/>
      <c r="B8" s="244" t="s">
        <v>102</v>
      </c>
      <c r="C8" s="91" t="s">
        <v>106</v>
      </c>
      <c r="D8" s="91" t="s">
        <v>103</v>
      </c>
      <c r="E8" s="91" t="s">
        <v>107</v>
      </c>
      <c r="F8" s="91" t="s">
        <v>104</v>
      </c>
      <c r="G8" s="91" t="s">
        <v>108</v>
      </c>
      <c r="H8" s="91" t="s">
        <v>105</v>
      </c>
      <c r="I8" s="91" t="s">
        <v>24</v>
      </c>
      <c r="J8" s="96" t="s">
        <v>2</v>
      </c>
    </row>
    <row r="9" spans="1:10">
      <c r="A9" s="4"/>
      <c r="B9" s="245"/>
      <c r="C9" s="28" t="s">
        <v>41</v>
      </c>
      <c r="D9" s="28" t="s">
        <v>72</v>
      </c>
      <c r="E9" s="28"/>
      <c r="F9" s="28"/>
      <c r="G9" s="28"/>
      <c r="H9" s="28"/>
      <c r="I9" s="28" t="s">
        <v>75</v>
      </c>
      <c r="J9" s="27" t="s">
        <v>27</v>
      </c>
    </row>
    <row r="10" spans="1:10">
      <c r="A10" s="4"/>
      <c r="B10" s="245"/>
      <c r="C10" s="28" t="s">
        <v>114</v>
      </c>
      <c r="D10" s="28" t="s">
        <v>72</v>
      </c>
      <c r="E10" s="28"/>
      <c r="F10" s="28"/>
      <c r="G10" s="28"/>
      <c r="H10" s="28"/>
      <c r="I10" s="28" t="s">
        <v>76</v>
      </c>
      <c r="J10" s="27" t="s">
        <v>28</v>
      </c>
    </row>
    <row r="11" spans="1:10">
      <c r="A11" s="4"/>
      <c r="B11" s="245"/>
      <c r="C11" s="28" t="s">
        <v>116</v>
      </c>
      <c r="D11" s="28" t="s">
        <v>72</v>
      </c>
      <c r="E11" s="28"/>
      <c r="F11" s="28"/>
      <c r="G11" s="28"/>
      <c r="H11" s="28"/>
      <c r="I11" s="28" t="s">
        <v>446</v>
      </c>
      <c r="J11" s="27" t="s">
        <v>260</v>
      </c>
    </row>
    <row r="12" spans="1:10">
      <c r="B12" s="253"/>
      <c r="C12" s="28" t="s">
        <v>429</v>
      </c>
      <c r="D12" s="28" t="s">
        <v>72</v>
      </c>
      <c r="E12" s="28"/>
      <c r="F12" s="28"/>
      <c r="G12" s="28"/>
      <c r="H12" s="28"/>
      <c r="I12" s="28">
        <v>10</v>
      </c>
      <c r="J12" s="108" t="s">
        <v>279</v>
      </c>
    </row>
    <row r="13" spans="1:10" ht="16.8" thickBot="1">
      <c r="B13" s="246"/>
      <c r="C13" s="30"/>
      <c r="D13" s="30"/>
      <c r="E13" s="30"/>
      <c r="F13" s="30"/>
      <c r="G13" s="30"/>
      <c r="H13" s="30"/>
      <c r="I13" s="30"/>
      <c r="J13" s="29"/>
    </row>
    <row r="14" spans="1:10">
      <c r="B14" s="85"/>
      <c r="C14" s="83"/>
      <c r="D14" s="83"/>
      <c r="E14" s="83"/>
      <c r="F14" s="83"/>
      <c r="G14" s="83"/>
      <c r="H14" s="83"/>
      <c r="I14" s="83"/>
      <c r="J14" s="83"/>
    </row>
    <row r="15" spans="1:10" ht="16.8" thickBot="1"/>
    <row r="16" spans="1:10">
      <c r="B16" s="86" t="s">
        <v>42</v>
      </c>
      <c r="C16" s="251" t="s">
        <v>444</v>
      </c>
      <c r="D16" s="251"/>
      <c r="E16" s="251"/>
      <c r="F16" s="251"/>
      <c r="G16" s="251"/>
      <c r="H16" s="251"/>
      <c r="I16" s="251"/>
      <c r="J16" s="252"/>
    </row>
    <row r="17" spans="2:10">
      <c r="B17" s="87" t="s">
        <v>83</v>
      </c>
      <c r="C17" s="240" t="s">
        <v>278</v>
      </c>
      <c r="D17" s="240"/>
      <c r="E17" s="240"/>
      <c r="F17" s="240"/>
      <c r="G17" s="240"/>
      <c r="H17" s="240"/>
      <c r="I17" s="240"/>
      <c r="J17" s="241"/>
    </row>
    <row r="18" spans="2:10" ht="16.8" thickBot="1">
      <c r="B18" s="88" t="s">
        <v>5</v>
      </c>
      <c r="C18" s="242" t="s">
        <v>426</v>
      </c>
      <c r="D18" s="242"/>
      <c r="E18" s="242"/>
      <c r="F18" s="242"/>
      <c r="G18" s="242"/>
      <c r="H18" s="242"/>
      <c r="I18" s="242"/>
      <c r="J18" s="243"/>
    </row>
    <row r="19" spans="2:10" ht="16.8" thickBot="1">
      <c r="C19" s="84"/>
      <c r="D19" s="84"/>
      <c r="E19" s="84"/>
      <c r="F19" s="84"/>
      <c r="G19" s="84"/>
      <c r="H19" s="84"/>
      <c r="I19" s="84"/>
      <c r="J19" s="84"/>
    </row>
    <row r="20" spans="2:10">
      <c r="B20" s="244" t="s">
        <v>102</v>
      </c>
      <c r="C20" s="91" t="s">
        <v>106</v>
      </c>
      <c r="D20" s="91" t="s">
        <v>103</v>
      </c>
      <c r="E20" s="91" t="s">
        <v>107</v>
      </c>
      <c r="F20" s="91" t="s">
        <v>104</v>
      </c>
      <c r="G20" s="91" t="s">
        <v>108</v>
      </c>
      <c r="H20" s="91" t="s">
        <v>105</v>
      </c>
      <c r="I20" s="91" t="s">
        <v>24</v>
      </c>
      <c r="J20" s="96" t="s">
        <v>2</v>
      </c>
    </row>
    <row r="21" spans="2:10">
      <c r="B21" s="245"/>
      <c r="C21" s="28" t="s">
        <v>41</v>
      </c>
      <c r="D21" s="28" t="s">
        <v>72</v>
      </c>
      <c r="E21" s="28"/>
      <c r="F21" s="28"/>
      <c r="G21" s="28"/>
      <c r="H21" s="28"/>
      <c r="I21" s="28" t="s">
        <v>75</v>
      </c>
      <c r="J21" s="27" t="s">
        <v>27</v>
      </c>
    </row>
    <row r="22" spans="2:10">
      <c r="B22" s="245"/>
      <c r="C22" s="28" t="s">
        <v>114</v>
      </c>
      <c r="D22" s="28" t="s">
        <v>72</v>
      </c>
      <c r="E22" s="28"/>
      <c r="F22" s="28"/>
      <c r="G22" s="28"/>
      <c r="H22" s="28"/>
      <c r="I22" s="28" t="s">
        <v>76</v>
      </c>
      <c r="J22" s="27" t="s">
        <v>28</v>
      </c>
    </row>
    <row r="23" spans="2:10">
      <c r="B23" s="245"/>
      <c r="C23" s="31" t="s">
        <v>116</v>
      </c>
      <c r="D23" s="28" t="s">
        <v>72</v>
      </c>
      <c r="E23" s="28"/>
      <c r="F23" s="28"/>
      <c r="G23" s="28"/>
      <c r="H23" s="28"/>
      <c r="I23" s="28" t="s">
        <v>446</v>
      </c>
      <c r="J23" s="27" t="s">
        <v>260</v>
      </c>
    </row>
    <row r="24" spans="2:10">
      <c r="B24" s="245"/>
      <c r="C24" s="28" t="s">
        <v>429</v>
      </c>
      <c r="D24" s="28" t="s">
        <v>72</v>
      </c>
      <c r="E24" s="28"/>
      <c r="F24" s="28"/>
      <c r="G24" s="28"/>
      <c r="H24" s="28"/>
      <c r="I24" s="28">
        <v>10</v>
      </c>
      <c r="J24" s="122" t="s">
        <v>279</v>
      </c>
    </row>
    <row r="25" spans="2:10" ht="16.8" thickBot="1">
      <c r="B25" s="246"/>
      <c r="C25" s="30"/>
      <c r="D25" s="30"/>
      <c r="E25" s="30"/>
      <c r="F25" s="30"/>
      <c r="G25" s="30"/>
      <c r="H25" s="30"/>
      <c r="I25" s="30"/>
      <c r="J25" s="29"/>
    </row>
    <row r="26" spans="2:10">
      <c r="B26" s="85"/>
      <c r="C26" s="83"/>
      <c r="D26" s="83"/>
      <c r="E26" s="83"/>
      <c r="F26" s="83"/>
      <c r="G26" s="83"/>
      <c r="H26" s="83"/>
      <c r="I26" s="83"/>
      <c r="J26" s="83"/>
    </row>
    <row r="27" spans="2:10" ht="57" customHeight="1">
      <c r="B27" s="89" t="s">
        <v>74</v>
      </c>
      <c r="C27" s="247"/>
      <c r="D27" s="248"/>
      <c r="E27" s="248"/>
      <c r="F27" s="248"/>
      <c r="G27" s="248"/>
      <c r="H27" s="248"/>
      <c r="I27" s="248"/>
      <c r="J27" s="249"/>
    </row>
    <row r="28" spans="2:10">
      <c r="B28" s="85"/>
      <c r="C28" s="83"/>
      <c r="D28" s="83"/>
      <c r="E28" s="83"/>
      <c r="F28" s="83"/>
      <c r="G28" s="83"/>
      <c r="H28" s="83"/>
      <c r="I28" s="83"/>
      <c r="J28" s="83"/>
    </row>
  </sheetData>
  <mergeCells count="10">
    <mergeCell ref="C17:J17"/>
    <mergeCell ref="C18:J18"/>
    <mergeCell ref="B20:B25"/>
    <mergeCell ref="C27:J27"/>
    <mergeCell ref="A1:C3"/>
    <mergeCell ref="C4:J4"/>
    <mergeCell ref="C5:J5"/>
    <mergeCell ref="C6:J6"/>
    <mergeCell ref="B8:B13"/>
    <mergeCell ref="C16:J16"/>
  </mergeCells>
  <phoneticPr fontId="1" type="noConversion"/>
  <conditionalFormatting sqref="C20:H20">
    <cfRule type="duplicateValues" dxfId="3" priority="28"/>
  </conditionalFormatting>
  <conditionalFormatting sqref="C8:H8">
    <cfRule type="duplicateValues" dxfId="2" priority="29"/>
  </conditionalFormatting>
  <hyperlinks>
    <hyperlink ref="A4" location="List!A1" display="LIST" xr:uid="{00000000-0004-0000-1B00-000000000000}"/>
  </hyperlink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封裝程式殼層物件" shapeId="123911" r:id="rId4">
          <objectPr defaultSize="0" r:id="rId5">
            <anchor moveWithCells="1">
              <from>
                <xdr:col>2</xdr:col>
                <xdr:colOff>182880</xdr:colOff>
                <xdr:row>26</xdr:row>
                <xdr:rowOff>106680</xdr:rowOff>
              </from>
              <to>
                <xdr:col>3</xdr:col>
                <xdr:colOff>327660</xdr:colOff>
                <xdr:row>26</xdr:row>
                <xdr:rowOff>617220</xdr:rowOff>
              </to>
            </anchor>
          </objectPr>
        </oleObject>
      </mc:Choice>
      <mc:Fallback>
        <oleObject progId="封裝程式殼層物件" shapeId="123911" r:id="rId4"/>
      </mc:Fallback>
    </mc:AlternateContent>
    <mc:AlternateContent xmlns:mc="http://schemas.openxmlformats.org/markup-compatibility/2006">
      <mc:Choice Requires="x14">
        <oleObject progId="封裝程式殼層物件" shapeId="123912" r:id="rId6">
          <objectPr defaultSize="0" r:id="rId7">
            <anchor moveWithCells="1">
              <from>
                <xdr:col>3</xdr:col>
                <xdr:colOff>441960</xdr:colOff>
                <xdr:row>26</xdr:row>
                <xdr:rowOff>121920</xdr:rowOff>
              </from>
              <to>
                <xdr:col>6</xdr:col>
                <xdr:colOff>266700</xdr:colOff>
                <xdr:row>26</xdr:row>
                <xdr:rowOff>640080</xdr:rowOff>
              </to>
            </anchor>
          </objectPr>
        </oleObject>
      </mc:Choice>
      <mc:Fallback>
        <oleObject progId="封裝程式殼層物件" shapeId="123912" r:id="rId6"/>
      </mc:Fallback>
    </mc:AlternateContent>
  </oleObjec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47"/>
  <sheetViews>
    <sheetView showGridLines="0" topLeftCell="A25" zoomScale="80" zoomScaleNormal="80" workbookViewId="0">
      <selection activeCell="E54" sqref="E54"/>
    </sheetView>
  </sheetViews>
  <sheetFormatPr defaultColWidth="9" defaultRowHeight="16.2"/>
  <cols>
    <col min="1" max="1" width="9" style="3"/>
    <col min="2" max="2" width="18.77734375" style="3" customWidth="1"/>
    <col min="3" max="3" width="16.5546875" style="3" customWidth="1"/>
    <col min="4" max="4" width="14.21875" style="3" bestFit="1" customWidth="1"/>
    <col min="5" max="5" width="10.44140625" style="3" bestFit="1" customWidth="1"/>
    <col min="6" max="6" width="9.33203125" style="3" bestFit="1" customWidth="1"/>
    <col min="7" max="7" width="17.88671875" style="3" customWidth="1"/>
    <col min="8" max="8" width="14.21875" style="3" bestFit="1" customWidth="1"/>
    <col min="9" max="10" width="14.21875" style="3" customWidth="1"/>
    <col min="11" max="11" width="50.5546875" style="3" customWidth="1"/>
    <col min="12" max="12" width="60.21875" style="3" customWidth="1"/>
    <col min="13" max="16384" width="9" style="3"/>
  </cols>
  <sheetData>
    <row r="1" spans="1:12">
      <c r="A1" s="250"/>
      <c r="B1" s="250"/>
      <c r="C1" s="250"/>
    </row>
    <row r="2" spans="1:12">
      <c r="A2" s="250"/>
      <c r="B2" s="250"/>
      <c r="C2" s="250"/>
    </row>
    <row r="3" spans="1:12" ht="16.8" thickBot="1">
      <c r="A3" s="250"/>
      <c r="B3" s="250"/>
      <c r="C3" s="250"/>
    </row>
    <row r="4" spans="1:12">
      <c r="A4" s="90" t="s">
        <v>0</v>
      </c>
      <c r="B4" s="86" t="s">
        <v>42</v>
      </c>
      <c r="C4" s="251" t="s">
        <v>483</v>
      </c>
      <c r="D4" s="251"/>
      <c r="E4" s="251"/>
      <c r="F4" s="251"/>
      <c r="G4" s="251"/>
      <c r="H4" s="251"/>
      <c r="I4" s="251"/>
      <c r="J4" s="251"/>
      <c r="K4" s="251"/>
      <c r="L4" s="252"/>
    </row>
    <row r="5" spans="1:12">
      <c r="B5" s="87" t="s">
        <v>83</v>
      </c>
      <c r="C5" s="240" t="s">
        <v>259</v>
      </c>
      <c r="D5" s="240"/>
      <c r="E5" s="240"/>
      <c r="F5" s="240"/>
      <c r="G5" s="240"/>
      <c r="H5" s="240"/>
      <c r="I5" s="240"/>
      <c r="J5" s="240"/>
      <c r="K5" s="240"/>
      <c r="L5" s="241"/>
    </row>
    <row r="6" spans="1:12" ht="16.5" customHeight="1" thickBot="1">
      <c r="A6" s="4"/>
      <c r="B6" s="88" t="s">
        <v>5</v>
      </c>
      <c r="C6" s="242" t="s">
        <v>427</v>
      </c>
      <c r="D6" s="242"/>
      <c r="E6" s="242"/>
      <c r="F6" s="242"/>
      <c r="G6" s="242"/>
      <c r="H6" s="242"/>
      <c r="I6" s="242"/>
      <c r="J6" s="242"/>
      <c r="K6" s="242"/>
      <c r="L6" s="243"/>
    </row>
    <row r="7" spans="1:12" ht="6.6" customHeight="1" thickBot="1">
      <c r="A7" s="4"/>
      <c r="C7" s="84"/>
      <c r="D7" s="84"/>
      <c r="E7" s="84"/>
      <c r="F7" s="84"/>
      <c r="G7" s="84"/>
      <c r="H7" s="84"/>
      <c r="I7" s="84"/>
      <c r="J7" s="84"/>
      <c r="K7" s="84"/>
      <c r="L7" s="84"/>
    </row>
    <row r="8" spans="1:12" ht="16.5" customHeight="1">
      <c r="A8" s="4"/>
      <c r="B8" s="244" t="s">
        <v>102</v>
      </c>
      <c r="C8" s="91" t="s">
        <v>106</v>
      </c>
      <c r="D8" s="91" t="s">
        <v>103</v>
      </c>
      <c r="E8" s="91" t="s">
        <v>107</v>
      </c>
      <c r="F8" s="91" t="s">
        <v>104</v>
      </c>
      <c r="G8" s="91" t="s">
        <v>108</v>
      </c>
      <c r="H8" s="91" t="s">
        <v>105</v>
      </c>
      <c r="I8" s="91" t="s">
        <v>109</v>
      </c>
      <c r="J8" s="91" t="s">
        <v>110</v>
      </c>
      <c r="K8" s="91" t="s">
        <v>24</v>
      </c>
      <c r="L8" s="96" t="s">
        <v>2</v>
      </c>
    </row>
    <row r="9" spans="1:12">
      <c r="A9" s="4"/>
      <c r="B9" s="245"/>
      <c r="C9" s="28" t="s">
        <v>41</v>
      </c>
      <c r="D9" s="28" t="s">
        <v>72</v>
      </c>
      <c r="E9" s="28"/>
      <c r="F9" s="28"/>
      <c r="G9" s="28"/>
      <c r="H9" s="28"/>
      <c r="I9" s="28"/>
      <c r="J9" s="28"/>
      <c r="K9" s="28" t="s">
        <v>75</v>
      </c>
      <c r="L9" s="27" t="s">
        <v>27</v>
      </c>
    </row>
    <row r="10" spans="1:12">
      <c r="A10" s="4"/>
      <c r="B10" s="245"/>
      <c r="C10" s="28" t="s">
        <v>114</v>
      </c>
      <c r="D10" s="28" t="s">
        <v>72</v>
      </c>
      <c r="E10" s="28"/>
      <c r="F10" s="28"/>
      <c r="G10" s="28"/>
      <c r="H10" s="28"/>
      <c r="I10" s="28"/>
      <c r="J10" s="28"/>
      <c r="K10" s="28" t="s">
        <v>76</v>
      </c>
      <c r="L10" s="27" t="s">
        <v>28</v>
      </c>
    </row>
    <row r="11" spans="1:12">
      <c r="A11" s="4"/>
      <c r="B11" s="245"/>
      <c r="C11" s="28" t="s">
        <v>116</v>
      </c>
      <c r="D11" s="28" t="s">
        <v>72</v>
      </c>
      <c r="E11" s="28"/>
      <c r="F11" s="28"/>
      <c r="G11" s="28"/>
      <c r="H11" s="28"/>
      <c r="I11" s="28"/>
      <c r="J11" s="28"/>
      <c r="K11" s="28" t="s">
        <v>434</v>
      </c>
      <c r="L11" s="27" t="s">
        <v>260</v>
      </c>
    </row>
    <row r="12" spans="1:12">
      <c r="A12" s="4"/>
      <c r="B12" s="253"/>
      <c r="C12" s="104" t="s">
        <v>215</v>
      </c>
      <c r="D12" s="104" t="s">
        <v>216</v>
      </c>
      <c r="E12" s="104"/>
      <c r="F12" s="104"/>
      <c r="G12" s="104"/>
      <c r="H12" s="104"/>
      <c r="I12" s="104"/>
      <c r="J12" s="104"/>
      <c r="K12" s="104"/>
      <c r="L12" s="106"/>
    </row>
    <row r="13" spans="1:12">
      <c r="A13" s="4"/>
      <c r="B13" s="253"/>
      <c r="C13" s="104"/>
      <c r="D13" s="104"/>
      <c r="E13" s="104" t="s">
        <v>217</v>
      </c>
      <c r="F13" s="104" t="s">
        <v>218</v>
      </c>
      <c r="G13" s="104"/>
      <c r="H13" s="104"/>
      <c r="I13" s="104"/>
      <c r="J13" s="104"/>
      <c r="K13" s="104"/>
      <c r="L13" s="106"/>
    </row>
    <row r="14" spans="1:12">
      <c r="A14" s="4"/>
      <c r="B14" s="253"/>
      <c r="C14" s="104"/>
      <c r="D14" s="104"/>
      <c r="E14" s="104"/>
      <c r="F14" s="104"/>
      <c r="G14" s="99" t="s">
        <v>219</v>
      </c>
      <c r="H14" s="28" t="s">
        <v>72</v>
      </c>
      <c r="I14" s="28"/>
      <c r="J14" s="28"/>
      <c r="K14" s="28" t="s">
        <v>345</v>
      </c>
      <c r="L14" s="27" t="s">
        <v>346</v>
      </c>
    </row>
    <row r="15" spans="1:12" ht="31.2">
      <c r="A15" s="4"/>
      <c r="B15" s="253"/>
      <c r="C15" s="104"/>
      <c r="D15" s="104"/>
      <c r="E15" s="104"/>
      <c r="F15" s="104"/>
      <c r="G15" s="95" t="s">
        <v>220</v>
      </c>
      <c r="H15" s="95" t="s">
        <v>72</v>
      </c>
      <c r="I15" s="104"/>
      <c r="J15" s="104"/>
      <c r="K15" s="95" t="s">
        <v>237</v>
      </c>
      <c r="L15" s="27" t="s">
        <v>236</v>
      </c>
    </row>
    <row r="16" spans="1:12">
      <c r="A16" s="4"/>
      <c r="B16" s="253"/>
      <c r="C16" s="104"/>
      <c r="D16" s="104"/>
      <c r="E16" s="104"/>
      <c r="F16" s="104"/>
      <c r="G16" s="95" t="s">
        <v>357</v>
      </c>
      <c r="H16" s="95" t="s">
        <v>91</v>
      </c>
      <c r="I16" s="104"/>
      <c r="J16" s="104"/>
      <c r="K16" s="95" t="s">
        <v>358</v>
      </c>
      <c r="L16" s="27" t="s">
        <v>359</v>
      </c>
    </row>
    <row r="17" spans="1:12">
      <c r="A17" s="4"/>
      <c r="B17" s="253"/>
      <c r="C17" s="104"/>
      <c r="D17" s="104"/>
      <c r="E17" s="104"/>
      <c r="F17" s="104"/>
      <c r="G17" s="28" t="s">
        <v>121</v>
      </c>
      <c r="H17" s="28" t="s">
        <v>72</v>
      </c>
      <c r="I17" s="104"/>
      <c r="J17" s="104"/>
      <c r="K17" s="28" t="s">
        <v>87</v>
      </c>
      <c r="L17" s="27" t="s">
        <v>34</v>
      </c>
    </row>
    <row r="18" spans="1:12">
      <c r="A18" s="4"/>
      <c r="B18" s="253"/>
      <c r="C18" s="104"/>
      <c r="D18" s="104"/>
      <c r="E18" s="104"/>
      <c r="F18" s="104"/>
      <c r="G18" s="28" t="s">
        <v>235</v>
      </c>
      <c r="H18" s="28" t="s">
        <v>72</v>
      </c>
      <c r="I18" s="104"/>
      <c r="J18" s="104"/>
      <c r="K18" s="28" t="s">
        <v>221</v>
      </c>
      <c r="L18" s="27" t="s">
        <v>222</v>
      </c>
    </row>
    <row r="19" spans="1:12">
      <c r="A19" s="4"/>
      <c r="B19" s="253"/>
      <c r="C19" s="104"/>
      <c r="D19" s="104"/>
      <c r="E19" s="104"/>
      <c r="F19" s="104"/>
      <c r="G19" s="28" t="s">
        <v>225</v>
      </c>
      <c r="H19" s="28" t="s">
        <v>72</v>
      </c>
      <c r="I19" s="104"/>
      <c r="J19" s="104"/>
      <c r="K19" s="28" t="s">
        <v>226</v>
      </c>
      <c r="L19" s="27" t="s">
        <v>227</v>
      </c>
    </row>
    <row r="20" spans="1:12">
      <c r="A20" s="4"/>
      <c r="B20" s="253"/>
      <c r="C20" s="104"/>
      <c r="D20" s="104"/>
      <c r="E20" s="104"/>
      <c r="F20" s="104"/>
      <c r="G20" s="28" t="s">
        <v>224</v>
      </c>
      <c r="H20" s="28" t="s">
        <v>72</v>
      </c>
      <c r="I20" s="104"/>
      <c r="J20" s="104"/>
      <c r="K20" s="28" t="s">
        <v>101</v>
      </c>
      <c r="L20" s="27" t="s">
        <v>362</v>
      </c>
    </row>
    <row r="21" spans="1:12" ht="124.8">
      <c r="A21" s="4"/>
      <c r="B21" s="253"/>
      <c r="C21" s="104"/>
      <c r="D21" s="104"/>
      <c r="E21" s="104"/>
      <c r="F21" s="104"/>
      <c r="G21" s="95" t="s">
        <v>128</v>
      </c>
      <c r="H21" s="95" t="s">
        <v>137</v>
      </c>
      <c r="I21" s="104"/>
      <c r="J21" s="104"/>
      <c r="K21" s="134" t="s">
        <v>45</v>
      </c>
      <c r="L21" s="135" t="s">
        <v>355</v>
      </c>
    </row>
    <row r="22" spans="1:12" ht="46.8">
      <c r="A22" s="4"/>
      <c r="B22" s="253"/>
      <c r="C22" s="104"/>
      <c r="D22" s="104"/>
      <c r="E22" s="104"/>
      <c r="F22" s="104"/>
      <c r="G22" s="100" t="s">
        <v>360</v>
      </c>
      <c r="H22" s="95" t="s">
        <v>72</v>
      </c>
      <c r="I22" s="104"/>
      <c r="J22" s="104"/>
      <c r="K22" s="116" t="s">
        <v>229</v>
      </c>
      <c r="L22" s="35" t="s">
        <v>361</v>
      </c>
    </row>
    <row r="23" spans="1:12">
      <c r="A23" s="4"/>
      <c r="B23" s="253"/>
      <c r="C23" s="104"/>
      <c r="D23" s="104"/>
      <c r="E23" s="104"/>
      <c r="F23" s="104"/>
      <c r="G23" s="102" t="s">
        <v>134</v>
      </c>
      <c r="H23" s="98" t="s">
        <v>72</v>
      </c>
      <c r="I23" s="104"/>
      <c r="J23" s="104"/>
      <c r="K23" s="28" t="s">
        <v>161</v>
      </c>
      <c r="L23" s="97" t="s">
        <v>356</v>
      </c>
    </row>
    <row r="24" spans="1:12">
      <c r="A24" s="4"/>
      <c r="B24" s="253"/>
      <c r="C24" s="104"/>
      <c r="D24" s="104"/>
      <c r="E24" s="104"/>
      <c r="F24" s="104"/>
      <c r="G24" s="28" t="s">
        <v>234</v>
      </c>
      <c r="H24" s="28" t="s">
        <v>72</v>
      </c>
      <c r="I24" s="104"/>
      <c r="J24" s="104"/>
      <c r="K24" s="28" t="s">
        <v>76</v>
      </c>
      <c r="L24" s="27" t="s">
        <v>228</v>
      </c>
    </row>
    <row r="25" spans="1:12" ht="31.2">
      <c r="A25" s="4"/>
      <c r="B25" s="253"/>
      <c r="C25" s="104"/>
      <c r="D25" s="104"/>
      <c r="E25" s="104"/>
      <c r="F25" s="104"/>
      <c r="G25" s="100" t="s">
        <v>139</v>
      </c>
      <c r="H25" s="100" t="s">
        <v>72</v>
      </c>
      <c r="I25" s="104"/>
      <c r="J25" s="104"/>
      <c r="K25" s="100" t="s">
        <v>370</v>
      </c>
      <c r="L25" s="136" t="s">
        <v>369</v>
      </c>
    </row>
    <row r="26" spans="1:12">
      <c r="A26" s="4"/>
      <c r="B26" s="253"/>
      <c r="C26" s="104"/>
      <c r="D26" s="104"/>
      <c r="E26" s="104"/>
      <c r="F26" s="104"/>
      <c r="G26" s="98" t="s">
        <v>230</v>
      </c>
      <c r="H26" s="28" t="s">
        <v>72</v>
      </c>
      <c r="I26" s="104"/>
      <c r="J26" s="104"/>
      <c r="K26" s="34" t="s">
        <v>231</v>
      </c>
      <c r="L26" s="35" t="s">
        <v>354</v>
      </c>
    </row>
    <row r="27" spans="1:12">
      <c r="A27" s="4"/>
      <c r="B27" s="253"/>
      <c r="C27" s="104"/>
      <c r="D27" s="104"/>
      <c r="E27" s="104"/>
      <c r="F27" s="104"/>
      <c r="G27" s="98" t="s">
        <v>351</v>
      </c>
      <c r="H27" s="28" t="s">
        <v>72</v>
      </c>
      <c r="I27" s="104"/>
      <c r="J27" s="104"/>
      <c r="K27" s="34" t="s">
        <v>350</v>
      </c>
      <c r="L27" s="35" t="s">
        <v>348</v>
      </c>
    </row>
    <row r="28" spans="1:12">
      <c r="A28" s="4"/>
      <c r="B28" s="253"/>
      <c r="C28" s="28"/>
      <c r="D28" s="28"/>
      <c r="E28" s="28"/>
      <c r="F28" s="28"/>
      <c r="G28" s="98" t="s">
        <v>353</v>
      </c>
      <c r="H28" s="28" t="s">
        <v>72</v>
      </c>
      <c r="I28" s="28"/>
      <c r="J28" s="28"/>
      <c r="K28" s="34" t="s">
        <v>350</v>
      </c>
      <c r="L28" s="34" t="s">
        <v>349</v>
      </c>
    </row>
    <row r="29" spans="1:12">
      <c r="A29" s="4"/>
      <c r="B29" s="253"/>
      <c r="C29" s="28"/>
      <c r="D29" s="28"/>
      <c r="E29" s="28"/>
      <c r="F29" s="28"/>
      <c r="G29" s="98" t="s">
        <v>352</v>
      </c>
      <c r="H29" s="28" t="s">
        <v>72</v>
      </c>
      <c r="I29" s="28"/>
      <c r="J29" s="28"/>
      <c r="K29" s="34" t="s">
        <v>350</v>
      </c>
      <c r="L29" s="34" t="s">
        <v>349</v>
      </c>
    </row>
    <row r="30" spans="1:12">
      <c r="A30" s="4"/>
      <c r="B30" s="253"/>
      <c r="C30" s="28"/>
      <c r="D30" s="28"/>
      <c r="E30" s="28"/>
      <c r="F30" s="28"/>
      <c r="G30" s="98" t="s">
        <v>363</v>
      </c>
      <c r="H30" s="28" t="s">
        <v>72</v>
      </c>
      <c r="I30" s="28"/>
      <c r="J30" s="28"/>
      <c r="K30" s="34" t="s">
        <v>350</v>
      </c>
      <c r="L30" s="34" t="s">
        <v>364</v>
      </c>
    </row>
    <row r="31" spans="1:12" ht="16.8" customHeight="1">
      <c r="A31" s="4"/>
      <c r="B31" s="253"/>
      <c r="C31" s="28"/>
      <c r="D31" s="28"/>
      <c r="E31" s="28"/>
      <c r="F31" s="28"/>
      <c r="G31" s="28"/>
      <c r="H31" s="28"/>
      <c r="I31" s="28"/>
      <c r="J31" s="28"/>
      <c r="K31" s="28"/>
      <c r="L31" s="27"/>
    </row>
    <row r="32" spans="1:12" ht="16.8" thickBot="1">
      <c r="B32" s="246"/>
      <c r="C32" s="30"/>
      <c r="D32" s="30"/>
      <c r="E32" s="30"/>
      <c r="F32" s="30"/>
      <c r="G32" s="30"/>
      <c r="H32" s="30"/>
      <c r="I32" s="30"/>
      <c r="J32" s="30"/>
      <c r="K32" s="30"/>
      <c r="L32" s="29"/>
    </row>
    <row r="33" spans="2:12">
      <c r="B33" s="85"/>
      <c r="C33" s="83"/>
      <c r="D33" s="83"/>
      <c r="E33" s="83"/>
      <c r="F33" s="83"/>
      <c r="G33" s="83"/>
      <c r="H33" s="83"/>
      <c r="I33" s="83"/>
      <c r="J33" s="83"/>
      <c r="K33" s="83"/>
      <c r="L33" s="83"/>
    </row>
    <row r="34" spans="2:12" ht="16.8" thickBot="1"/>
    <row r="35" spans="2:12">
      <c r="B35" s="86" t="s">
        <v>42</v>
      </c>
      <c r="C35" s="251" t="s">
        <v>423</v>
      </c>
      <c r="D35" s="251"/>
      <c r="E35" s="251"/>
      <c r="F35" s="251"/>
      <c r="G35" s="251"/>
      <c r="H35" s="251"/>
      <c r="I35" s="251"/>
      <c r="J35" s="251"/>
      <c r="K35" s="251"/>
      <c r="L35" s="252"/>
    </row>
    <row r="36" spans="2:12" ht="16.2" customHeight="1">
      <c r="B36" s="87" t="s">
        <v>83</v>
      </c>
      <c r="C36" s="240" t="s">
        <v>277</v>
      </c>
      <c r="D36" s="240"/>
      <c r="E36" s="240"/>
      <c r="F36" s="240"/>
      <c r="G36" s="240"/>
      <c r="H36" s="240"/>
      <c r="I36" s="240"/>
      <c r="J36" s="240"/>
      <c r="K36" s="240"/>
      <c r="L36" s="241"/>
    </row>
    <row r="37" spans="2:12" ht="16.8" thickBot="1">
      <c r="B37" s="88" t="s">
        <v>5</v>
      </c>
      <c r="C37" s="242" t="s">
        <v>428</v>
      </c>
      <c r="D37" s="242"/>
      <c r="E37" s="242"/>
      <c r="F37" s="242"/>
      <c r="G37" s="242"/>
      <c r="H37" s="242"/>
      <c r="I37" s="242"/>
      <c r="J37" s="242"/>
      <c r="K37" s="242"/>
      <c r="L37" s="243"/>
    </row>
    <row r="38" spans="2:12" ht="16.8" thickBot="1">
      <c r="C38" s="84"/>
      <c r="D38" s="84"/>
      <c r="E38" s="84"/>
      <c r="F38" s="84"/>
      <c r="G38" s="84"/>
      <c r="H38" s="84"/>
      <c r="I38" s="84"/>
      <c r="J38" s="84"/>
      <c r="K38" s="84"/>
      <c r="L38" s="84"/>
    </row>
    <row r="39" spans="2:12">
      <c r="B39" s="244" t="s">
        <v>102</v>
      </c>
      <c r="C39" s="91" t="s">
        <v>106</v>
      </c>
      <c r="D39" s="91" t="s">
        <v>103</v>
      </c>
      <c r="E39" s="91" t="s">
        <v>107</v>
      </c>
      <c r="F39" s="91" t="s">
        <v>104</v>
      </c>
      <c r="G39" s="91" t="s">
        <v>108</v>
      </c>
      <c r="H39" s="91" t="s">
        <v>105</v>
      </c>
      <c r="I39" s="91"/>
      <c r="J39" s="91"/>
      <c r="K39" s="91" t="s">
        <v>24</v>
      </c>
      <c r="L39" s="96" t="s">
        <v>2</v>
      </c>
    </row>
    <row r="40" spans="2:12">
      <c r="B40" s="245"/>
      <c r="C40" s="28" t="s">
        <v>41</v>
      </c>
      <c r="D40" s="28" t="s">
        <v>72</v>
      </c>
      <c r="E40" s="28"/>
      <c r="F40" s="28"/>
      <c r="G40" s="28"/>
      <c r="H40" s="28"/>
      <c r="I40" s="28"/>
      <c r="J40" s="28"/>
      <c r="K40" s="28" t="s">
        <v>75</v>
      </c>
      <c r="L40" s="27" t="s">
        <v>27</v>
      </c>
    </row>
    <row r="41" spans="2:12">
      <c r="B41" s="245"/>
      <c r="C41" s="28" t="s">
        <v>114</v>
      </c>
      <c r="D41" s="28" t="s">
        <v>72</v>
      </c>
      <c r="E41" s="28"/>
      <c r="F41" s="28"/>
      <c r="G41" s="28"/>
      <c r="H41" s="28"/>
      <c r="I41" s="28"/>
      <c r="J41" s="28"/>
      <c r="K41" s="28" t="s">
        <v>76</v>
      </c>
      <c r="L41" s="27" t="s">
        <v>28</v>
      </c>
    </row>
    <row r="42" spans="2:12">
      <c r="B42" s="245"/>
      <c r="C42" s="31" t="s">
        <v>116</v>
      </c>
      <c r="D42" s="28" t="s">
        <v>72</v>
      </c>
      <c r="E42" s="28"/>
      <c r="F42" s="28"/>
      <c r="G42" s="28"/>
      <c r="H42" s="28"/>
      <c r="I42" s="28"/>
      <c r="J42" s="28"/>
      <c r="K42" s="28" t="s">
        <v>281</v>
      </c>
      <c r="L42" s="27" t="s">
        <v>260</v>
      </c>
    </row>
    <row r="43" spans="2:12">
      <c r="B43" s="245"/>
      <c r="C43" s="28"/>
      <c r="D43" s="28"/>
      <c r="E43" s="28"/>
      <c r="F43" s="28"/>
      <c r="G43" s="28"/>
      <c r="H43" s="28"/>
      <c r="I43" s="28"/>
      <c r="J43" s="28"/>
      <c r="K43" s="28"/>
      <c r="L43" s="27"/>
    </row>
    <row r="44" spans="2:12" ht="16.8" thickBot="1">
      <c r="B44" s="246"/>
      <c r="C44" s="30"/>
      <c r="D44" s="30"/>
      <c r="E44" s="30"/>
      <c r="F44" s="30"/>
      <c r="G44" s="30"/>
      <c r="H44" s="30"/>
      <c r="I44" s="30"/>
      <c r="J44" s="30"/>
      <c r="K44" s="30"/>
      <c r="L44" s="29"/>
    </row>
    <row r="45" spans="2:12">
      <c r="B45" s="85"/>
      <c r="C45" s="83"/>
      <c r="D45" s="83"/>
      <c r="E45" s="83"/>
      <c r="F45" s="83"/>
      <c r="G45" s="83"/>
      <c r="H45" s="83"/>
      <c r="I45" s="83"/>
      <c r="J45" s="83"/>
      <c r="K45" s="83"/>
      <c r="L45" s="83"/>
    </row>
    <row r="46" spans="2:12" ht="57" customHeight="1">
      <c r="B46" s="89" t="s">
        <v>74</v>
      </c>
      <c r="C46" s="247"/>
      <c r="D46" s="248"/>
      <c r="E46" s="248"/>
      <c r="F46" s="248"/>
      <c r="G46" s="248"/>
      <c r="H46" s="248"/>
      <c r="I46" s="248"/>
      <c r="J46" s="248"/>
      <c r="K46" s="248"/>
      <c r="L46" s="249"/>
    </row>
    <row r="47" spans="2:12">
      <c r="B47" s="85"/>
      <c r="C47" s="83"/>
      <c r="D47" s="83"/>
      <c r="E47" s="83"/>
      <c r="F47" s="83"/>
      <c r="G47" s="83"/>
      <c r="H47" s="83"/>
      <c r="I47" s="83"/>
      <c r="J47" s="83"/>
      <c r="K47" s="83"/>
      <c r="L47" s="83"/>
    </row>
  </sheetData>
  <mergeCells count="10">
    <mergeCell ref="C36:L36"/>
    <mergeCell ref="C37:L37"/>
    <mergeCell ref="B39:B44"/>
    <mergeCell ref="C46:L46"/>
    <mergeCell ref="A1:C3"/>
    <mergeCell ref="C4:L4"/>
    <mergeCell ref="C5:L5"/>
    <mergeCell ref="C6:L6"/>
    <mergeCell ref="B8:B32"/>
    <mergeCell ref="C35:L35"/>
  </mergeCells>
  <phoneticPr fontId="1" type="noConversion"/>
  <conditionalFormatting sqref="C39:J39">
    <cfRule type="duplicateValues" dxfId="1" priority="1"/>
  </conditionalFormatting>
  <conditionalFormatting sqref="C8:J8">
    <cfRule type="duplicateValues" dxfId="0" priority="2"/>
  </conditionalFormatting>
  <hyperlinks>
    <hyperlink ref="A4" location="List!A1" display="LIST" xr:uid="{00000000-0004-0000-1C00-000000000000}"/>
  </hyperlinks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封裝程式殼層物件" shapeId="124933" r:id="rId4">
          <objectPr defaultSize="0" r:id="rId5">
            <anchor moveWithCells="1">
              <from>
                <xdr:col>2</xdr:col>
                <xdr:colOff>556260</xdr:colOff>
                <xdr:row>45</xdr:row>
                <xdr:rowOff>129540</xdr:rowOff>
              </from>
              <to>
                <xdr:col>3</xdr:col>
                <xdr:colOff>662940</xdr:colOff>
                <xdr:row>45</xdr:row>
                <xdr:rowOff>647700</xdr:rowOff>
              </to>
            </anchor>
          </objectPr>
        </oleObject>
      </mc:Choice>
      <mc:Fallback>
        <oleObject progId="封裝程式殼層物件" shapeId="124933" r:id="rId4"/>
      </mc:Fallback>
    </mc:AlternateContent>
    <mc:AlternateContent xmlns:mc="http://schemas.openxmlformats.org/markup-compatibility/2006">
      <mc:Choice Requires="x14">
        <oleObject progId="封裝程式殼層物件" shapeId="124934" r:id="rId6">
          <objectPr defaultSize="0" r:id="rId7">
            <anchor moveWithCells="1">
              <from>
                <xdr:col>3</xdr:col>
                <xdr:colOff>830580</xdr:colOff>
                <xdr:row>45</xdr:row>
                <xdr:rowOff>137160</xdr:rowOff>
              </from>
              <to>
                <xdr:col>6</xdr:col>
                <xdr:colOff>114300</xdr:colOff>
                <xdr:row>45</xdr:row>
                <xdr:rowOff>647700</xdr:rowOff>
              </to>
            </anchor>
          </objectPr>
        </oleObject>
      </mc:Choice>
      <mc:Fallback>
        <oleObject progId="封裝程式殼層物件" shapeId="124934" r:id="rId6"/>
      </mc:Fallback>
    </mc:AlternateContent>
  </oleObjects>
</worksheet>
</file>

<file path=docMetadata/LabelInfo.xml><?xml version="1.0" encoding="utf-8"?>
<clbl:labelList xmlns:clbl="http://schemas.microsoft.com/office/2020/mipLabelMetadata">
  <clbl:label id="{a04a0b7a-e6d2-4cc4-8e76-1d2bff072a6e}" enabled="1" method="Privileged" siteId="{97876bed-bb9a-4617-802b-94c62e7837b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Cover</vt:lpstr>
      <vt:lpstr>Rabbit MQ</vt:lpstr>
      <vt:lpstr>Message Format Define</vt:lpstr>
      <vt:lpstr>Carrier State and Position</vt:lpstr>
      <vt:lpstr>List</vt:lpstr>
      <vt:lpstr>Lifter Scenario</vt:lpstr>
      <vt:lpstr>reportAlive</vt:lpstr>
      <vt:lpstr>dateTimeSyncRequest</vt:lpstr>
      <vt:lpstr>switchRunMode</vt:lpstr>
      <vt:lpstr>alarmReport</vt:lpstr>
      <vt:lpstr>queryLifterInfo</vt:lpstr>
      <vt:lpstr>lifterOperationChangeRequest</vt:lpstr>
      <vt:lpstr>lifterOperationModeReport</vt:lpstr>
      <vt:lpstr>lifterStatusReport</vt:lpstr>
      <vt:lpstr>lifterUnlockRequest</vt:lpstr>
      <vt:lpstr>lifterLockRequest</vt:lpstr>
      <vt:lpstr>lifterDoorOpenCompleted</vt:lpstr>
      <vt:lpstr>agvMovingInform</vt:lpstr>
      <vt:lpstr>agvOutLifterInform</vt:lpstr>
      <vt:lpstr>fireEventReport</vt:lpstr>
      <vt:lpstr>carrierWaitIn</vt:lpstr>
      <vt:lpstr>carrierWaitOut</vt:lpstr>
      <vt:lpstr>carrierReportEvent</vt:lpstr>
      <vt:lpstr>lifterMoveRequest</vt:lpstr>
      <vt:lpstr>lifterMoveTaskReport</vt:lpstr>
      <vt:lpstr>carrierMoveCancelByMCS</vt:lpstr>
      <vt:lpstr>cancelTaskReport</vt:lpstr>
      <vt:lpstr>lifterInfoUploadRequest</vt:lpstr>
      <vt:lpstr>lifterInfoUpload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2024-02-21T08:46:36Z</dcterms:modified>
</cp:coreProperties>
</file>